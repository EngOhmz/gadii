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55" windowWidth="19815" windowHeight="7875" activeTab="2"/>
  </bookViews>
  <sheets>
    <sheet name="ABROAD" sheetId="1" r:id="rId1"/>
    <sheet name="IMPORTED" sheetId="2" r:id="rId2"/>
    <sheet name="IN_COUNTRY" sheetId="3" r:id="rId3"/>
  </sheets>
  <calcPr calcId="124519"/>
</workbook>
</file>

<file path=xl/calcChain.xml><?xml version="1.0" encoding="utf-8"?>
<calcChain xmlns="http://schemas.openxmlformats.org/spreadsheetml/2006/main">
  <c r="F19" i="3"/>
  <c r="F20" s="1"/>
</calcChain>
</file>

<file path=xl/sharedStrings.xml><?xml version="1.0" encoding="utf-8"?>
<sst xmlns="http://schemas.openxmlformats.org/spreadsheetml/2006/main" count="414" uniqueCount="63">
  <si>
    <t xml:space="preserve"> ABROAD </t>
  </si>
  <si>
    <t>#</t>
  </si>
  <si>
    <t>Item Name</t>
  </si>
  <si>
    <t xml:space="preserve"> Unit Of Measure </t>
  </si>
  <si>
    <t xml:space="preserve"> Country of Origin </t>
  </si>
  <si>
    <t xml:space="preserve"> Delivery Date as defined by Incoterms </t>
  </si>
  <si>
    <t xml:space="preserve"> Quantity and physical unit </t>
  </si>
  <si>
    <t xml:space="preserve"> Unit price CIF port of entry </t>
  </si>
  <si>
    <t xml:space="preserve"> Total CIF or CIP price per item </t>
  </si>
  <si>
    <t xml:space="preserve"> Unit price of inland delivery to final destination and unit price of other incidental services </t>
  </si>
  <si>
    <t xml:space="preserve"> Total Price per line item </t>
  </si>
  <si>
    <t>1</t>
  </si>
  <si>
    <t>ANC Muoanisho number 06 (page60)</t>
  </si>
  <si>
    <t xml:space="preserve"> Pcs </t>
  </si>
  <si>
    <t/>
  </si>
  <si>
    <t>2</t>
  </si>
  <si>
    <t>ANC Register number 06(page 60)</t>
  </si>
  <si>
    <t>3</t>
  </si>
  <si>
    <t>cohort report</t>
  </si>
  <si>
    <t xml:space="preserve"> Pc </t>
  </si>
  <si>
    <t>4</t>
  </si>
  <si>
    <t>FP Muoanisho number 08 (page60)</t>
  </si>
  <si>
    <t>5</t>
  </si>
  <si>
    <t>FP Register number 08 (page60)</t>
  </si>
  <si>
    <t>6</t>
  </si>
  <si>
    <t>L/D Muoanisho number 12 (page60)</t>
  </si>
  <si>
    <t>7</t>
  </si>
  <si>
    <t>L/D Register number 12 (page 60)</t>
  </si>
  <si>
    <t>8</t>
  </si>
  <si>
    <t>OPD Muoanisho number 05 (page 60)</t>
  </si>
  <si>
    <t xml:space="preserve"> pcs </t>
  </si>
  <si>
    <t>9</t>
  </si>
  <si>
    <t>OPD Register number 05(Page 60)</t>
  </si>
  <si>
    <t>10</t>
  </si>
  <si>
    <t>Postnatal Muoanisho number 13 (page60)</t>
  </si>
  <si>
    <t xml:space="preserve"> PCS </t>
  </si>
  <si>
    <t>11</t>
  </si>
  <si>
    <t>Postnatal Register number 13 (page 60)</t>
  </si>
  <si>
    <t>12</t>
  </si>
  <si>
    <t>Ufuatiliaji wa watoto Muoanisho number 07 (page60)</t>
  </si>
  <si>
    <t>13</t>
  </si>
  <si>
    <t>Ufuatiliaji wa watoto Register number 07 (page 60)</t>
  </si>
  <si>
    <t xml:space="preserve"> Total: </t>
  </si>
  <si>
    <t xml:space="preserve">0 </t>
  </si>
  <si>
    <t xml:space="preserve"> IMPORTED </t>
  </si>
  <si>
    <t xml:space="preserve"> Unit price including Custom Duties and Import Taxes paid </t>
  </si>
  <si>
    <t xml:space="preserve"> Custom Duties and Import Taxes paid per unit </t>
  </si>
  <si>
    <t xml:space="preserve"> Unit Price net of custom duties and import taxes </t>
  </si>
  <si>
    <t xml:space="preserve"> Price per line-item net of Custom Duties and Import Taxes paid </t>
  </si>
  <si>
    <t xml:space="preserve"> Price per line item for inland transportation and other services required in Tanzania to convey the goods to their final destination </t>
  </si>
  <si>
    <t xml:space="preserve"> Sales and other taxes paid or payable per item if Contract is awarded </t>
  </si>
  <si>
    <t xml:space="preserve"> 3 </t>
  </si>
  <si>
    <t xml:space="preserve"> 1 </t>
  </si>
  <si>
    <t>KASHAI DISPENSARY</t>
  </si>
  <si>
    <t>102424-9/2024/2025/G/01</t>
  </si>
  <si>
    <t>OFFICE CONSUMABLES</t>
  </si>
  <si>
    <t>S/N</t>
  </si>
  <si>
    <t xml:space="preserve"> Quantity </t>
  </si>
  <si>
    <t xml:space="preserve"> Unit price </t>
  </si>
  <si>
    <t xml:space="preserve"> Total Price </t>
  </si>
  <si>
    <t>SUB-TOTAL</t>
  </si>
  <si>
    <t>VAT 18%</t>
  </si>
  <si>
    <t>GRAND TOTAL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</si>
</sst>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 applyNumberFormat="1"/>
    <xf numFmtId="0" fontId="2" fillId="0" borderId="0" xfId="0" applyNumberFormat="1" applyFont="1"/>
    <xf numFmtId="0" fontId="0" fillId="0" borderId="1" xfId="0" applyNumberFormat="1" applyBorder="1"/>
    <xf numFmtId="0" fontId="0" fillId="0" borderId="1" xfId="0" applyNumberFormat="1" applyBorder="1" applyAlignment="1">
      <alignment wrapText="1"/>
    </xf>
    <xf numFmtId="3" fontId="0" fillId="0" borderId="1" xfId="0" applyNumberFormat="1" applyBorder="1"/>
    <xf numFmtId="43" fontId="0" fillId="0" borderId="1" xfId="1" applyFont="1" applyBorder="1"/>
    <xf numFmtId="43" fontId="3" fillId="0" borderId="1" xfId="1" applyFont="1" applyBorder="1"/>
    <xf numFmtId="0" fontId="3" fillId="0" borderId="2" xfId="0" applyNumberFormat="1" applyFont="1" applyBorder="1" applyAlignment="1">
      <alignment horizontal="center"/>
    </xf>
    <xf numFmtId="0" fontId="3" fillId="0" borderId="3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.75"/>
  <sheetData>
    <row r="1" spans="1:10">
      <c r="A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t="s">
        <v>11</v>
      </c>
      <c r="B3" t="s">
        <v>12</v>
      </c>
      <c r="C3" t="s">
        <v>13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>
      <c r="A4" t="s">
        <v>15</v>
      </c>
      <c r="B4" t="s">
        <v>16</v>
      </c>
      <c r="C4" t="s">
        <v>13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>
      <c r="A5" t="s">
        <v>17</v>
      </c>
      <c r="B5" t="s">
        <v>18</v>
      </c>
      <c r="C5" t="s">
        <v>19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>
      <c r="A6" t="s">
        <v>20</v>
      </c>
      <c r="B6" t="s">
        <v>21</v>
      </c>
      <c r="C6" t="s">
        <v>13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>
      <c r="A7" t="s">
        <v>22</v>
      </c>
      <c r="B7" t="s">
        <v>23</v>
      </c>
      <c r="C7" t="s">
        <v>13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>
      <c r="A8" t="s">
        <v>24</v>
      </c>
      <c r="B8" t="s">
        <v>25</v>
      </c>
      <c r="C8" t="s">
        <v>13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>
      <c r="A9" t="s">
        <v>26</v>
      </c>
      <c r="B9" t="s">
        <v>27</v>
      </c>
      <c r="C9" t="s">
        <v>13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>
      <c r="A10" t="s">
        <v>28</v>
      </c>
      <c r="B10" t="s">
        <v>29</v>
      </c>
      <c r="C10" t="s">
        <v>30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>
      <c r="A11" t="s">
        <v>31</v>
      </c>
      <c r="B11" t="s">
        <v>32</v>
      </c>
      <c r="C11" t="s">
        <v>13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>
      <c r="A12" t="s">
        <v>33</v>
      </c>
      <c r="B12" t="s">
        <v>34</v>
      </c>
      <c r="C12" t="s">
        <v>35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>
      <c r="A13" t="s">
        <v>36</v>
      </c>
      <c r="B13" t="s">
        <v>37</v>
      </c>
      <c r="C13" t="s">
        <v>13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>
      <c r="A14" t="s">
        <v>38</v>
      </c>
      <c r="B14" t="s">
        <v>39</v>
      </c>
      <c r="C14" t="s">
        <v>13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>
      <c r="A15" t="s">
        <v>40</v>
      </c>
      <c r="B15" t="s">
        <v>41</v>
      </c>
      <c r="C15" t="s">
        <v>13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>
      <c r="A16" t="s">
        <v>14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42</v>
      </c>
      <c r="J16" t="s">
        <v>43</v>
      </c>
    </row>
  </sheetData>
  <pageMargins left="0.7" right="0.7" top="0.75" bottom="0.75" header="0.3" footer="0.3"/>
  <ignoredErrors>
    <ignoredError sqref="A1:J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.75"/>
  <sheetData>
    <row r="1" spans="1:13">
      <c r="A1" t="s">
        <v>44</v>
      </c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10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t="s">
        <v>15</v>
      </c>
      <c r="B4" t="s">
        <v>16</v>
      </c>
      <c r="C4" t="s">
        <v>13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>
      <c r="A5" t="s">
        <v>17</v>
      </c>
      <c r="B5" t="s">
        <v>18</v>
      </c>
      <c r="C5" t="s">
        <v>19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>
      <c r="A6" t="s">
        <v>20</v>
      </c>
      <c r="B6" t="s">
        <v>21</v>
      </c>
      <c r="C6" t="s">
        <v>13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1:13">
      <c r="A7" t="s">
        <v>22</v>
      </c>
      <c r="B7" t="s">
        <v>23</v>
      </c>
      <c r="C7" t="s">
        <v>13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>
      <c r="A8" t="s">
        <v>24</v>
      </c>
      <c r="B8" t="s">
        <v>25</v>
      </c>
      <c r="C8" t="s">
        <v>13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>
      <c r="A9" t="s">
        <v>26</v>
      </c>
      <c r="B9" t="s">
        <v>27</v>
      </c>
      <c r="C9" t="s">
        <v>13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>
      <c r="A10" t="s">
        <v>28</v>
      </c>
      <c r="B10" t="s">
        <v>29</v>
      </c>
      <c r="C10" t="s">
        <v>30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>
      <c r="A11" t="s">
        <v>31</v>
      </c>
      <c r="B11" t="s">
        <v>32</v>
      </c>
      <c r="C11" t="s">
        <v>13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>
      <c r="A12" t="s">
        <v>33</v>
      </c>
      <c r="B12" t="s">
        <v>34</v>
      </c>
      <c r="C12" t="s">
        <v>35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</row>
    <row r="13" spans="1:13">
      <c r="A13" t="s">
        <v>36</v>
      </c>
      <c r="B13" t="s">
        <v>37</v>
      </c>
      <c r="C13" t="s">
        <v>13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</row>
    <row r="14" spans="1:13">
      <c r="A14" t="s">
        <v>38</v>
      </c>
      <c r="B14" t="s">
        <v>39</v>
      </c>
      <c r="C14" t="s">
        <v>13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</row>
    <row r="15" spans="1:13">
      <c r="A15" t="s">
        <v>40</v>
      </c>
      <c r="B15" t="s">
        <v>41</v>
      </c>
      <c r="C15" t="s">
        <v>13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>
      <c r="A16" t="s">
        <v>14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42</v>
      </c>
      <c r="M16" t="s">
        <v>43</v>
      </c>
    </row>
  </sheetData>
  <pageMargins left="0.7" right="0.7" top="0.75" bottom="0.75" header="0.3" footer="0.3"/>
  <ignoredErrors>
    <ignoredError sqref="A1:M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selection activeCell="A21" sqref="A1:F21"/>
    </sheetView>
  </sheetViews>
  <sheetFormatPr defaultRowHeight="15.75"/>
  <cols>
    <col min="1" max="1" width="4.625" customWidth="1"/>
    <col min="2" max="2" width="38" customWidth="1"/>
    <col min="4" max="4" width="9.25" customWidth="1"/>
    <col min="5" max="5" width="9.5" customWidth="1"/>
    <col min="6" max="6" width="11.125" bestFit="1" customWidth="1"/>
  </cols>
  <sheetData>
    <row r="1" spans="1:6">
      <c r="A1" s="1" t="s">
        <v>53</v>
      </c>
      <c r="B1" s="1"/>
    </row>
    <row r="2" spans="1:6">
      <c r="A2" s="1" t="s">
        <v>54</v>
      </c>
      <c r="B2" s="1"/>
    </row>
    <row r="3" spans="1:6">
      <c r="A3" s="1" t="s">
        <v>55</v>
      </c>
      <c r="B3" s="1"/>
    </row>
    <row r="4" spans="1:6" ht="31.5">
      <c r="A4" s="2" t="s">
        <v>56</v>
      </c>
      <c r="B4" s="2" t="s">
        <v>2</v>
      </c>
      <c r="C4" s="3" t="s">
        <v>3</v>
      </c>
      <c r="D4" s="3" t="s">
        <v>57</v>
      </c>
      <c r="E4" s="3" t="s">
        <v>58</v>
      </c>
      <c r="F4" s="3" t="s">
        <v>59</v>
      </c>
    </row>
    <row r="5" spans="1:6">
      <c r="A5" s="2" t="s">
        <v>11</v>
      </c>
      <c r="B5" s="3" t="s">
        <v>12</v>
      </c>
      <c r="C5" s="2" t="s">
        <v>13</v>
      </c>
      <c r="D5" s="2" t="s">
        <v>51</v>
      </c>
      <c r="E5" s="4">
        <v>7350</v>
      </c>
      <c r="F5" s="4">
        <v>22050</v>
      </c>
    </row>
    <row r="6" spans="1:6">
      <c r="A6" s="2" t="s">
        <v>15</v>
      </c>
      <c r="B6" s="3" t="s">
        <v>16</v>
      </c>
      <c r="C6" s="2" t="s">
        <v>13</v>
      </c>
      <c r="D6" s="2" t="s">
        <v>51</v>
      </c>
      <c r="E6" s="5">
        <v>7350</v>
      </c>
      <c r="F6" s="5">
        <v>22050</v>
      </c>
    </row>
    <row r="7" spans="1:6">
      <c r="A7" s="2" t="s">
        <v>17</v>
      </c>
      <c r="B7" s="3" t="s">
        <v>18</v>
      </c>
      <c r="C7" s="2" t="s">
        <v>19</v>
      </c>
      <c r="D7" s="2" t="s">
        <v>52</v>
      </c>
      <c r="E7" s="5">
        <v>7350</v>
      </c>
      <c r="F7" s="5">
        <v>7350</v>
      </c>
    </row>
    <row r="8" spans="1:6">
      <c r="A8" s="2" t="s">
        <v>20</v>
      </c>
      <c r="B8" s="3" t="s">
        <v>21</v>
      </c>
      <c r="C8" s="2" t="s">
        <v>13</v>
      </c>
      <c r="D8" s="2" t="s">
        <v>51</v>
      </c>
      <c r="E8" s="5">
        <v>7350</v>
      </c>
      <c r="F8" s="5">
        <v>22050</v>
      </c>
    </row>
    <row r="9" spans="1:6">
      <c r="A9" s="2" t="s">
        <v>22</v>
      </c>
      <c r="B9" s="3" t="s">
        <v>23</v>
      </c>
      <c r="C9" s="2" t="s">
        <v>13</v>
      </c>
      <c r="D9" s="2" t="s">
        <v>51</v>
      </c>
      <c r="E9" s="5">
        <v>7350</v>
      </c>
      <c r="F9" s="5">
        <v>22050</v>
      </c>
    </row>
    <row r="10" spans="1:6">
      <c r="A10" s="2" t="s">
        <v>24</v>
      </c>
      <c r="B10" s="3" t="s">
        <v>25</v>
      </c>
      <c r="C10" s="2" t="s">
        <v>13</v>
      </c>
      <c r="D10" s="2" t="s">
        <v>51</v>
      </c>
      <c r="E10" s="5">
        <v>7350</v>
      </c>
      <c r="F10" s="5">
        <v>22050</v>
      </c>
    </row>
    <row r="11" spans="1:6">
      <c r="A11" s="2" t="s">
        <v>26</v>
      </c>
      <c r="B11" s="3" t="s">
        <v>27</v>
      </c>
      <c r="C11" s="2" t="s">
        <v>13</v>
      </c>
      <c r="D11" s="2" t="s">
        <v>51</v>
      </c>
      <c r="E11" s="5">
        <v>7350</v>
      </c>
      <c r="F11" s="5">
        <v>22050</v>
      </c>
    </row>
    <row r="12" spans="1:6">
      <c r="A12" s="2" t="s">
        <v>28</v>
      </c>
      <c r="B12" s="3" t="s">
        <v>29</v>
      </c>
      <c r="C12" s="2" t="s">
        <v>30</v>
      </c>
      <c r="D12" s="2" t="s">
        <v>51</v>
      </c>
      <c r="E12" s="5">
        <v>7350</v>
      </c>
      <c r="F12" s="5">
        <v>22050</v>
      </c>
    </row>
    <row r="13" spans="1:6">
      <c r="A13" s="2" t="s">
        <v>31</v>
      </c>
      <c r="B13" s="3" t="s">
        <v>32</v>
      </c>
      <c r="C13" s="2" t="s">
        <v>13</v>
      </c>
      <c r="D13" s="2" t="s">
        <v>51</v>
      </c>
      <c r="E13" s="5">
        <v>7350</v>
      </c>
      <c r="F13" s="5">
        <v>22050</v>
      </c>
    </row>
    <row r="14" spans="1:6">
      <c r="A14" s="2" t="s">
        <v>33</v>
      </c>
      <c r="B14" s="3" t="s">
        <v>34</v>
      </c>
      <c r="C14" s="2" t="s">
        <v>35</v>
      </c>
      <c r="D14" s="2" t="s">
        <v>51</v>
      </c>
      <c r="E14" s="5">
        <v>7350</v>
      </c>
      <c r="F14" s="5">
        <v>22050</v>
      </c>
    </row>
    <row r="15" spans="1:6">
      <c r="A15" s="2" t="s">
        <v>36</v>
      </c>
      <c r="B15" s="3" t="s">
        <v>37</v>
      </c>
      <c r="C15" s="2" t="s">
        <v>13</v>
      </c>
      <c r="D15" s="2" t="s">
        <v>51</v>
      </c>
      <c r="E15" s="5">
        <v>7350</v>
      </c>
      <c r="F15" s="5">
        <v>22050</v>
      </c>
    </row>
    <row r="16" spans="1:6" ht="31.5">
      <c r="A16" s="2" t="s">
        <v>38</v>
      </c>
      <c r="B16" s="3" t="s">
        <v>39</v>
      </c>
      <c r="C16" s="2" t="s">
        <v>13</v>
      </c>
      <c r="D16" s="2" t="s">
        <v>51</v>
      </c>
      <c r="E16" s="5">
        <v>7350</v>
      </c>
      <c r="F16" s="5">
        <v>22050</v>
      </c>
    </row>
    <row r="17" spans="1:6" ht="31.5">
      <c r="A17" s="2" t="s">
        <v>40</v>
      </c>
      <c r="B17" s="3" t="s">
        <v>41</v>
      </c>
      <c r="C17" s="2" t="s">
        <v>13</v>
      </c>
      <c r="D17" s="2" t="s">
        <v>51</v>
      </c>
      <c r="E17" s="5">
        <v>7350</v>
      </c>
      <c r="F17" s="5">
        <v>22050</v>
      </c>
    </row>
    <row r="18" spans="1:6">
      <c r="A18" s="2" t="s">
        <v>14</v>
      </c>
      <c r="B18" s="2" t="s">
        <v>14</v>
      </c>
      <c r="C18" s="2" t="s">
        <v>14</v>
      </c>
      <c r="D18" s="7" t="s">
        <v>60</v>
      </c>
      <c r="E18" s="8"/>
      <c r="F18" s="6">
        <v>271950</v>
      </c>
    </row>
    <row r="19" spans="1:6">
      <c r="A19" s="2"/>
      <c r="B19" s="2"/>
      <c r="C19" s="2"/>
      <c r="D19" s="7" t="s">
        <v>61</v>
      </c>
      <c r="E19" s="8"/>
      <c r="F19" s="6">
        <f>F18*0.18</f>
        <v>48951</v>
      </c>
    </row>
    <row r="20" spans="1:6">
      <c r="A20" s="2"/>
      <c r="B20" s="2"/>
      <c r="C20" s="2"/>
      <c r="D20" s="7" t="s">
        <v>62</v>
      </c>
      <c r="E20" s="8"/>
      <c r="F20" s="6">
        <f>SUM(F18:F19)</f>
        <v>320901</v>
      </c>
    </row>
  </sheetData>
  <mergeCells count="3">
    <mergeCell ref="D18:E18"/>
    <mergeCell ref="D19:E19"/>
    <mergeCell ref="D20:E20"/>
  </mergeCells>
  <pageMargins left="0.4" right="0.23" top="0.75" bottom="0.75" header="0.3" footer="0.3"/>
  <pageSetup paperSize="9" orientation="portrait" verticalDpi="0" r:id="rId1"/>
  <ignoredErrors>
    <ignoredError sqref="A18:C18 B4:C4 A5:D5 A6:D6 A7:D7 A8:D8 A9:D9 A10:D10 A11:D11 A12:D12 A13:D13 A14:D14 A15:D15 A16:D16 A17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ABROAD</vt:lpstr>
      <vt:lpstr>IMPORTED</vt:lpstr>
      <vt:lpstr>IN_COUNTRY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BAZAAR</dc:creator>
  <cp:lastModifiedBy>Amosi</cp:lastModifiedBy>
  <cp:lastPrinted>2025-04-15T08:40:56Z</cp:lastPrinted>
  <dcterms:created xsi:type="dcterms:W3CDTF">2025-04-04T10:40:48Z</dcterms:created>
  <dcterms:modified xsi:type="dcterms:W3CDTF">2025-04-15T08:41:07Z</dcterms:modified>
</cp:coreProperties>
</file>