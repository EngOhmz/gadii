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D2BFC31-F83B-4701-B590-38495CF0183B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7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4" i="7" l="1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</calcChain>
</file>

<file path=xl/sharedStrings.xml><?xml version="1.0" encoding="utf-8"?>
<sst xmlns="http://schemas.openxmlformats.org/spreadsheetml/2006/main" count="623" uniqueCount="167">
  <si>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</si>
  <si>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</si>
  <si>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</si>
  <si>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</si>
  <si>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</si>
  <si>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</si>
  <si>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</si>
  <si>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</si>
  <si>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</si>
  <si>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</si>
  <si>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</si>
  <si>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</si>
  <si>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</si>
  <si>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</si>
  <si>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Microp Mboga mboga 50kg (Yara)</t>
  </si>
  <si>
    <t>Microp kukuzia 50kgs (Yara)</t>
  </si>
  <si>
    <t>Winner Yara 50kg (Yara)</t>
  </si>
  <si>
    <t>Cereal Yara 50kg (Yara)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</si>
  <si>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</si>
  <si>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</si>
  <si>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</si>
  <si>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</si>
  <si>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</si>
  <si>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</si>
  <si>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</si>
  <si>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Staco 50kg (Staco)</t>
  </si>
  <si>
    <t>Dap yara 25kg (Yara)</t>
  </si>
  <si>
    <t>Forceup Jubail 1litre (JUBAIL)</t>
  </si>
  <si>
    <t xml:space="preserve">Maguguma Hangzue 1ltr </t>
  </si>
  <si>
    <t>Victory 72WP 200Gm (ETG)</t>
  </si>
  <si>
    <t>Wiltigo Biddi 40ml (Biddi)</t>
  </si>
  <si>
    <t>Crop booster Yara 1ltr (Yara T Ltd)</t>
  </si>
  <si>
    <t xml:space="preserve">Beansclean Hunz 1lt </t>
  </si>
  <si>
    <t xml:space="preserve">Can plus Minjingu 50kg </t>
  </si>
  <si>
    <t xml:space="preserve">FEEDER AASL 10KG </t>
  </si>
  <si>
    <t xml:space="preserve">DRINKER AASL 1.5LTR </t>
  </si>
  <si>
    <t xml:space="preserve">DRINKER AASL 10LTR </t>
  </si>
  <si>
    <t xml:space="preserve">SA MOO 50KG </t>
  </si>
  <si>
    <t xml:space="preserve">Aminika 505 2kg </t>
  </si>
  <si>
    <t xml:space="preserve">Seedco 513 Seedco 2kg </t>
  </si>
  <si>
    <t>HB 614 Kibo 2kgs (Kibo seed)</t>
  </si>
  <si>
    <t>Hb 628 2kg (KIBO SEEDS)</t>
  </si>
  <si>
    <t xml:space="preserve">PIONEER 2KG 3253 </t>
  </si>
  <si>
    <t xml:space="preserve">Dk 8033 Mosanto 2kg </t>
  </si>
  <si>
    <t>Amidas 50kg (Yara)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</si>
  <si>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</si>
  <si>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</si>
  <si>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</si>
  <si>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</si>
  <si>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</si>
  <si>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</si>
  <si>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</si>
  <si>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</si>
  <si>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</si>
  <si>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</si>
  <si>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</si>
  <si>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</si>
  <si>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</si>
  <si>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</si>
  <si>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</si>
  <si>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>Dk 8031 2kg (Mosanto)</t>
  </si>
  <si>
    <t>Microp Mboga mboga 25kg (Yara)</t>
  </si>
  <si>
    <t>Microp Mboga mboga 5kg (Yara)</t>
  </si>
  <si>
    <t>Microp Kupandia 25kg (Yara)</t>
  </si>
  <si>
    <t>Microp kupandia 5kg (Yara)</t>
  </si>
  <si>
    <t>Microp Kukuzia 5kg (Yara)</t>
  </si>
  <si>
    <t xml:space="preserve">Winner Yara 5kg </t>
  </si>
  <si>
    <t>Otesha Yara 5kg (Yara)</t>
  </si>
  <si>
    <t xml:space="preserve">POWER BOOSTER YARA 1LTR </t>
  </si>
  <si>
    <t>Hai Super 1Ltr (HANGZHOU)</t>
  </si>
  <si>
    <t>Nozzle Mchanganyiko Nozzle AASL (AASL)</t>
  </si>
  <si>
    <t>Victory 72WP 500Gm (ETG)</t>
  </si>
  <si>
    <t>Victory 72WP 1kg (ETG)</t>
  </si>
  <si>
    <t>Amidas Yara 25kg (Yara)</t>
  </si>
  <si>
    <t>Unik npk Yara 50kg (Yara tz)</t>
  </si>
  <si>
    <t>Primagram gold Syngenta 1ltr (Syngenta)</t>
  </si>
  <si>
    <t>Z Force 1kg (Jubail)</t>
  </si>
  <si>
    <t>Alizeti Record 2kg (BYTRADE)</t>
  </si>
  <si>
    <t xml:space="preserve">Water can assl China </t>
  </si>
  <si>
    <t>Kamba a-z A-z kamba 2500mt (A-z)</t>
  </si>
  <si>
    <t>Kamba a-z A-z  kamba 4500 (A-z)</t>
  </si>
  <si>
    <t>Dap Yara 50kg (Yara tz)</t>
  </si>
  <si>
    <t>Hakika Organic 25kg (Hakika)</t>
  </si>
  <si>
    <t>Hakika Organic 50kg (Hakika)</t>
  </si>
  <si>
    <t xml:space="preserve">Hysun Bytrade 2kg </t>
  </si>
  <si>
    <t>Snow success 500gm (Positive)</t>
  </si>
  <si>
    <t xml:space="preserve">ZAMSEED 606 ZAM 2KG </t>
  </si>
  <si>
    <t>UREA yara 25Kg (YARA)</t>
  </si>
  <si>
    <t>Urea Etg 25kg (ETG)</t>
  </si>
  <si>
    <t xml:space="preserve">CAN OCP 25KG </t>
  </si>
  <si>
    <t>pannar 691 Pannar 2kg (Pannar seed)</t>
  </si>
  <si>
    <t>Seedco 419 2kg (Seedco)</t>
  </si>
  <si>
    <t xml:space="preserve">DRINKER AASL 12LTR </t>
  </si>
  <si>
    <t xml:space="preserve">FEEDER AASL 12KG </t>
  </si>
  <si>
    <t>Can sulfan Yara25kgs (Yara)</t>
  </si>
  <si>
    <t>Can sulfan Yara 50kg (Yara)</t>
  </si>
  <si>
    <t>Can Etg 5kg (ETG)</t>
  </si>
  <si>
    <t>SA 5kg (Etg)</t>
  </si>
  <si>
    <t xml:space="preserve">FEEDER AASL 3KG </t>
  </si>
  <si>
    <t xml:space="preserve">FEEDER AASL 6KG </t>
  </si>
  <si>
    <t xml:space="preserve">Winner Yara 25kg </t>
  </si>
  <si>
    <t>Vyungu Majiko (Lungemba)</t>
  </si>
  <si>
    <t>Can Etg 50kg (ETG)</t>
  </si>
  <si>
    <t xml:space="preserve">Otesha Yara 25kg </t>
  </si>
  <si>
    <t xml:space="preserve">Nps Ocp 5kg </t>
  </si>
  <si>
    <t xml:space="preserve">Nps zn Ocp 25kg </t>
  </si>
  <si>
    <t xml:space="preserve">Nps zn Ocp 50kg </t>
  </si>
  <si>
    <t xml:space="preserve">FEEDER AASL 1KG </t>
  </si>
  <si>
    <t xml:space="preserve">DRINKER AASL 6LTR </t>
  </si>
  <si>
    <t xml:space="preserve">DRINKER AASL 3LTR </t>
  </si>
  <si>
    <t xml:space="preserve">DRINKER AASL 1LTR </t>
  </si>
  <si>
    <t>UREA YARA 50KG (YARA)</t>
  </si>
  <si>
    <t>Bomba knapsack Aasl 20ltr (AASL)</t>
  </si>
  <si>
    <t>Meru 515 2kg (MERU)</t>
  </si>
  <si>
    <t>Meru 519 2kg (Meru)</t>
  </si>
  <si>
    <t>Meru 623 2kg (Meru)</t>
  </si>
  <si>
    <t xml:space="preserve">Milima 605 2kg </t>
  </si>
  <si>
    <t>Mrija AP Complete (AASL)</t>
  </si>
  <si>
    <t xml:space="preserve">Fungo force Jubail 500g </t>
  </si>
  <si>
    <t xml:space="preserve">CAN 50KG MOO </t>
  </si>
  <si>
    <t xml:space="preserve">Buti TZ Dar </t>
  </si>
  <si>
    <t xml:space="preserve">Mult k.plus Balton 1kg </t>
  </si>
  <si>
    <t>Mrija kawaida AASL complete (AASL)</t>
  </si>
  <si>
    <t xml:space="preserve">UREA 50KG MOO </t>
  </si>
  <si>
    <t xml:space="preserve">Kigozi kawaida AASL </t>
  </si>
  <si>
    <t xml:space="preserve">Buti chuma mbele TZ </t>
  </si>
  <si>
    <t>Kigozi AP Spea AP (AASL)</t>
  </si>
  <si>
    <t xml:space="preserve">DAP PLUS 50KG MINJINGU </t>
  </si>
  <si>
    <t>Dap Etg 5kg (Etg)</t>
  </si>
  <si>
    <t xml:space="preserve">Buti Bata kenya </t>
  </si>
  <si>
    <t xml:space="preserve">SIDA AASL KITUNGUU </t>
  </si>
  <si>
    <t xml:space="preserve">Aminika 403 2kg </t>
  </si>
  <si>
    <t>Urea Etg 50kg (Etg)</t>
  </si>
  <si>
    <t>Bicron biddi 500mls (biddi)</t>
  </si>
  <si>
    <t xml:space="preserve">Amapro 76wp Danken 500g </t>
  </si>
  <si>
    <t xml:space="preserve">Amapro 76wp Danken 1kg </t>
  </si>
  <si>
    <t xml:space="preserve">Trey seeds China </t>
  </si>
  <si>
    <t>TOBBACCONPK YARA 50KG (YARA)</t>
  </si>
  <si>
    <t xml:space="preserve">Hand sprayer 2Ltr </t>
  </si>
  <si>
    <t>pc</t>
  </si>
  <si>
    <t xml:space="preserve">CHOKAA DODOMA CEMENT </t>
  </si>
  <si>
    <t xml:space="preserve">Trey za karatasi Company </t>
  </si>
  <si>
    <t xml:space="preserve">Sulphur Etg 25kg </t>
  </si>
  <si>
    <t xml:space="preserve">Urea STACO 50kg </t>
  </si>
  <si>
    <t xml:space="preserve">MULTPOWER TFA 1KG </t>
  </si>
  <si>
    <t xml:space="preserve">Snow succes 200gm 200gm </t>
  </si>
  <si>
    <t>Tomato safar Safari 250gm (Safari)</t>
  </si>
  <si>
    <t>Stomp 1ltr (Petrobena)</t>
  </si>
  <si>
    <t>Urea 25kg (-Premium)</t>
  </si>
  <si>
    <t xml:space="preserve">Urea Ocp 25kg </t>
  </si>
  <si>
    <t xml:space="preserve">Dap 50kg etg </t>
  </si>
  <si>
    <t xml:space="preserve">Can OCP 50KG </t>
  </si>
  <si>
    <t xml:space="preserve">Dkmethly Danken 1kg </t>
  </si>
  <si>
    <t xml:space="preserve">Omax calmax Mulphy 100mls </t>
  </si>
  <si>
    <t>Wilthane Bidd 1kgs (Bidd)</t>
  </si>
  <si>
    <t>Tomato safari Safari 100gm (Safari seed)</t>
  </si>
  <si>
    <t xml:space="preserve">Alizeti record Highland 2kg </t>
  </si>
  <si>
    <t>CRANKA AP Plastic AP (AASL)</t>
  </si>
  <si>
    <t xml:space="preserve">FEEDER ALPHA 14KG </t>
  </si>
  <si>
    <t>bar_code</t>
  </si>
  <si>
    <t>IPOGOLO</t>
  </si>
  <si>
    <t xml:space="preserve">Mabomba Bomba </t>
  </si>
  <si>
    <t xml:space="preserve">Ivanor Jubail 100mls </t>
  </si>
  <si>
    <t xml:space="preserve">Can hydran 50kg Yara </t>
  </si>
  <si>
    <t xml:space="preserve">Polyfeed Balton 1kg </t>
  </si>
  <si>
    <t xml:space="preserve">SA AFRISIAN  50KG </t>
  </si>
  <si>
    <t xml:space="preserve">Cereal booster Yara 1ltr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</si>
</sst>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326-57A1-44D1-B5F1-2A84B4C8C9A5}">
  <dimension ref="A1:K154"/>
  <sheetViews>
    <sheetView tabSelected="1" topLeftCell="A153" workbookViewId="0">
      <selection activeCell="A131" sqref="A131"/>
    </sheetView>
  </sheetViews>
  <sheetFormatPr defaultRowHeight="14" x14ac:dyDescent="0.3"/>
  <cols>
    <col min="1" max="1" width="18.09765625" customWidth="1"/>
    <col min="10" max="10" width="10" customWidth="1"/>
    <col min="11" max="11" width="17" customWidth="1"/>
  </cols>
  <sheetData>
    <row r="1" spans="1:11" x14ac:dyDescent="0.3">
      <c r="A1" s="1" t="s">
        <v>0</v>
      </c>
      <c r="B1" s="4" t="s">
        <v>7</v>
      </c>
      <c r="C1" s="4" t="s">
        <v>159</v>
      </c>
      <c r="D1" s="2" t="s">
        <v>1</v>
      </c>
      <c r="E1" s="2" t="s">
        <v>2</v>
      </c>
      <c r="F1" s="7" t="s">
        <v>3</v>
      </c>
      <c r="G1" s="5" t="s">
        <v>10</v>
      </c>
      <c r="H1" s="3" t="s">
        <v>4</v>
      </c>
      <c r="I1" s="3" t="s">
        <v>5</v>
      </c>
      <c r="J1" s="3" t="s">
        <v>9</v>
      </c>
      <c r="K1" s="7" t="s">
        <v>6</v>
      </c>
    </row>
    <row r="2" spans="1:11" x14ac:dyDescent="0.3">
      <c r="A2" t="s">
        <v>91</v>
      </c>
      <c r="B2" t="s">
        <v>8</v>
      </c>
      <c r="D2" s="6">
        <v>10400</v>
      </c>
      <c r="E2" s="6">
        <v>12000</v>
      </c>
      <c r="F2">
        <v>0</v>
      </c>
      <c r="G2" s="9">
        <v>0</v>
      </c>
      <c r="H2" t="s">
        <v>139</v>
      </c>
      <c r="J2" t="s">
        <v>160</v>
      </c>
      <c r="K2" s="8">
        <f>D2*F2</f>
        <v>0</v>
      </c>
    </row>
    <row r="3" spans="1:11" x14ac:dyDescent="0.3">
      <c r="A3" t="s">
        <v>161</v>
      </c>
      <c r="B3" t="s">
        <v>8</v>
      </c>
      <c r="D3">
        <v>0</v>
      </c>
      <c r="E3">
        <v>0</v>
      </c>
      <c r="F3">
        <v>0</v>
      </c>
      <c r="G3" s="9">
        <v>0</v>
      </c>
      <c r="H3" t="s">
        <v>139</v>
      </c>
      <c r="J3" t="s">
        <v>160</v>
      </c>
      <c r="K3" s="8">
        <f t="shared" ref="K3:K66" si="0">D3*F3</f>
        <v>0</v>
      </c>
    </row>
    <row r="4" spans="1:11" x14ac:dyDescent="0.3">
      <c r="A4" t="s">
        <v>38</v>
      </c>
      <c r="B4" t="s">
        <v>8</v>
      </c>
      <c r="D4" s="6">
        <v>11000</v>
      </c>
      <c r="E4" s="6">
        <v>12000</v>
      </c>
      <c r="F4">
        <v>24</v>
      </c>
      <c r="G4" s="9">
        <v>0</v>
      </c>
      <c r="H4" t="s">
        <v>139</v>
      </c>
      <c r="J4" t="s">
        <v>160</v>
      </c>
      <c r="K4" s="8">
        <f t="shared" si="0"/>
        <v>264000</v>
      </c>
    </row>
    <row r="5" spans="1:11" x14ac:dyDescent="0.3">
      <c r="A5" t="s">
        <v>116</v>
      </c>
      <c r="B5" t="s">
        <v>8</v>
      </c>
      <c r="D5" s="6">
        <v>11000</v>
      </c>
      <c r="E5" s="6">
        <v>13000</v>
      </c>
      <c r="F5">
        <v>72</v>
      </c>
      <c r="G5" s="9">
        <v>0</v>
      </c>
      <c r="H5" t="s">
        <v>139</v>
      </c>
      <c r="J5" t="s">
        <v>160</v>
      </c>
      <c r="K5" s="8">
        <f t="shared" si="0"/>
        <v>792000</v>
      </c>
    </row>
    <row r="6" spans="1:11" x14ac:dyDescent="0.3">
      <c r="A6" t="s">
        <v>43</v>
      </c>
      <c r="B6" t="s">
        <v>8</v>
      </c>
      <c r="D6" s="6">
        <v>10675</v>
      </c>
      <c r="E6" s="6">
        <v>12000</v>
      </c>
      <c r="F6" s="6">
        <v>1550</v>
      </c>
      <c r="G6" s="9">
        <v>0</v>
      </c>
      <c r="H6" t="s">
        <v>139</v>
      </c>
      <c r="J6" t="s">
        <v>160</v>
      </c>
      <c r="K6" s="8">
        <f t="shared" si="0"/>
        <v>16546250</v>
      </c>
    </row>
    <row r="7" spans="1:11" x14ac:dyDescent="0.3">
      <c r="A7" t="s">
        <v>140</v>
      </c>
      <c r="B7" t="s">
        <v>8</v>
      </c>
      <c r="D7" s="6">
        <v>7000</v>
      </c>
      <c r="E7" s="6">
        <v>12000</v>
      </c>
      <c r="F7">
        <v>75</v>
      </c>
      <c r="G7" s="9">
        <v>0</v>
      </c>
      <c r="H7" t="s">
        <v>139</v>
      </c>
      <c r="J7" t="s">
        <v>160</v>
      </c>
      <c r="K7" s="8">
        <f t="shared" si="0"/>
        <v>525000</v>
      </c>
    </row>
    <row r="8" spans="1:11" x14ac:dyDescent="0.3">
      <c r="A8" t="s">
        <v>101</v>
      </c>
      <c r="B8" t="s">
        <v>8</v>
      </c>
      <c r="D8" s="6">
        <v>4000</v>
      </c>
      <c r="E8" s="6">
        <v>7000</v>
      </c>
      <c r="F8">
        <v>0</v>
      </c>
      <c r="G8" s="9">
        <v>0</v>
      </c>
      <c r="H8" t="s">
        <v>139</v>
      </c>
      <c r="J8" t="s">
        <v>160</v>
      </c>
      <c r="K8" s="8">
        <f t="shared" si="0"/>
        <v>0</v>
      </c>
    </row>
    <row r="9" spans="1:11" x14ac:dyDescent="0.3">
      <c r="A9" t="s">
        <v>35</v>
      </c>
      <c r="B9" t="s">
        <v>8</v>
      </c>
      <c r="D9" s="6">
        <v>2600</v>
      </c>
      <c r="E9" s="6">
        <v>4000</v>
      </c>
      <c r="F9">
        <v>10</v>
      </c>
      <c r="G9" s="9">
        <v>0</v>
      </c>
      <c r="H9" t="s">
        <v>139</v>
      </c>
      <c r="J9" t="s">
        <v>160</v>
      </c>
      <c r="K9" s="8">
        <f t="shared" si="0"/>
        <v>26000</v>
      </c>
    </row>
    <row r="10" spans="1:11" x14ac:dyDescent="0.3">
      <c r="A10" t="s">
        <v>110</v>
      </c>
      <c r="B10" t="s">
        <v>8</v>
      </c>
      <c r="D10" s="6">
        <v>2000</v>
      </c>
      <c r="E10" s="6">
        <v>3000</v>
      </c>
      <c r="F10">
        <v>20</v>
      </c>
      <c r="G10" s="9">
        <v>0</v>
      </c>
      <c r="H10" t="s">
        <v>139</v>
      </c>
      <c r="J10" t="s">
        <v>160</v>
      </c>
      <c r="K10" s="8">
        <f t="shared" si="0"/>
        <v>40000</v>
      </c>
    </row>
    <row r="11" spans="1:11" x14ac:dyDescent="0.3">
      <c r="A11" t="s">
        <v>138</v>
      </c>
      <c r="B11" t="s">
        <v>8</v>
      </c>
      <c r="D11" s="6">
        <v>5000</v>
      </c>
      <c r="E11" s="6">
        <v>8000</v>
      </c>
      <c r="F11">
        <v>640</v>
      </c>
      <c r="G11" s="9">
        <v>0</v>
      </c>
      <c r="H11" t="s">
        <v>139</v>
      </c>
      <c r="J11" t="s">
        <v>160</v>
      </c>
      <c r="K11" s="8">
        <f t="shared" si="0"/>
        <v>3200000</v>
      </c>
    </row>
    <row r="12" spans="1:11" x14ac:dyDescent="0.3">
      <c r="A12" t="s">
        <v>51</v>
      </c>
      <c r="B12" t="s">
        <v>8</v>
      </c>
      <c r="D12" s="6">
        <v>5750</v>
      </c>
      <c r="E12" s="6">
        <v>8000</v>
      </c>
      <c r="F12" s="6">
        <v>2372</v>
      </c>
      <c r="G12" s="9">
        <v>0</v>
      </c>
      <c r="H12" t="s">
        <v>139</v>
      </c>
      <c r="J12" t="s">
        <v>160</v>
      </c>
      <c r="K12" s="8">
        <f t="shared" si="0"/>
        <v>13639000</v>
      </c>
    </row>
    <row r="13" spans="1:11" x14ac:dyDescent="0.3">
      <c r="A13" t="s">
        <v>122</v>
      </c>
      <c r="B13" t="s">
        <v>8</v>
      </c>
      <c r="D13" s="6">
        <v>2000</v>
      </c>
      <c r="E13" s="6">
        <v>8000</v>
      </c>
      <c r="F13" s="6">
        <v>6071</v>
      </c>
      <c r="G13" s="9">
        <v>0</v>
      </c>
      <c r="H13" t="s">
        <v>139</v>
      </c>
      <c r="J13" t="s">
        <v>160</v>
      </c>
      <c r="K13" s="8">
        <f t="shared" si="0"/>
        <v>12142000</v>
      </c>
    </row>
    <row r="14" spans="1:11" x14ac:dyDescent="0.3">
      <c r="A14" t="s">
        <v>86</v>
      </c>
      <c r="B14" t="s">
        <v>8</v>
      </c>
      <c r="D14" s="6">
        <v>9000</v>
      </c>
      <c r="E14" s="6">
        <v>12000</v>
      </c>
      <c r="F14" s="6">
        <v>9750</v>
      </c>
      <c r="G14" s="9">
        <v>0</v>
      </c>
      <c r="H14" t="s">
        <v>139</v>
      </c>
      <c r="J14" t="s">
        <v>160</v>
      </c>
      <c r="K14" s="8">
        <f t="shared" si="0"/>
        <v>87750000</v>
      </c>
    </row>
    <row r="15" spans="1:11" x14ac:dyDescent="0.3">
      <c r="A15" t="s">
        <v>97</v>
      </c>
      <c r="B15" t="s">
        <v>8</v>
      </c>
      <c r="D15" s="6">
        <v>5400</v>
      </c>
      <c r="E15" s="6">
        <v>6000</v>
      </c>
      <c r="F15" s="6">
        <v>1258</v>
      </c>
      <c r="G15" s="9">
        <v>0</v>
      </c>
      <c r="H15" t="s">
        <v>139</v>
      </c>
      <c r="J15" t="s">
        <v>160</v>
      </c>
      <c r="K15" s="8">
        <f t="shared" si="0"/>
        <v>6793200</v>
      </c>
    </row>
    <row r="16" spans="1:11" x14ac:dyDescent="0.3">
      <c r="A16" t="s">
        <v>59</v>
      </c>
      <c r="B16" t="s">
        <v>8</v>
      </c>
      <c r="D16" s="6">
        <v>55000</v>
      </c>
      <c r="E16" s="6">
        <v>100000</v>
      </c>
      <c r="F16" s="6">
        <v>1210</v>
      </c>
      <c r="G16" s="9">
        <v>0</v>
      </c>
      <c r="H16" t="s">
        <v>139</v>
      </c>
      <c r="J16" t="s">
        <v>160</v>
      </c>
      <c r="K16" s="8">
        <f t="shared" si="0"/>
        <v>66550000</v>
      </c>
    </row>
    <row r="17" spans="1:11" x14ac:dyDescent="0.3">
      <c r="A17" t="s">
        <v>58</v>
      </c>
      <c r="B17" t="s">
        <v>8</v>
      </c>
      <c r="D17" s="6">
        <v>26200</v>
      </c>
      <c r="E17" s="6">
        <v>40000</v>
      </c>
      <c r="F17">
        <v>982</v>
      </c>
      <c r="G17" s="9">
        <v>0</v>
      </c>
      <c r="H17" t="s">
        <v>139</v>
      </c>
      <c r="J17" t="s">
        <v>160</v>
      </c>
      <c r="K17" s="8">
        <f t="shared" si="0"/>
        <v>25728400</v>
      </c>
    </row>
    <row r="18" spans="1:11" x14ac:dyDescent="0.3">
      <c r="A18" t="s">
        <v>112</v>
      </c>
      <c r="B18" t="s">
        <v>8</v>
      </c>
      <c r="D18" s="6">
        <v>31100</v>
      </c>
      <c r="E18" s="6">
        <v>45000</v>
      </c>
      <c r="F18">
        <v>702</v>
      </c>
      <c r="G18" s="9">
        <v>0</v>
      </c>
      <c r="H18" t="s">
        <v>139</v>
      </c>
      <c r="J18" t="s">
        <v>160</v>
      </c>
      <c r="K18" s="8">
        <f t="shared" si="0"/>
        <v>21832200</v>
      </c>
    </row>
    <row r="19" spans="1:11" x14ac:dyDescent="0.3">
      <c r="A19" t="s">
        <v>82</v>
      </c>
      <c r="B19" t="s">
        <v>8</v>
      </c>
      <c r="D19" s="6">
        <v>19000</v>
      </c>
      <c r="E19" s="6">
        <v>25000</v>
      </c>
      <c r="F19">
        <v>26</v>
      </c>
      <c r="G19" s="9">
        <v>0</v>
      </c>
      <c r="H19" t="s">
        <v>139</v>
      </c>
      <c r="J19" t="s">
        <v>160</v>
      </c>
      <c r="K19" s="8">
        <f t="shared" si="0"/>
        <v>494000</v>
      </c>
    </row>
    <row r="20" spans="1:11" x14ac:dyDescent="0.3">
      <c r="A20" t="s">
        <v>83</v>
      </c>
      <c r="B20" t="s">
        <v>8</v>
      </c>
      <c r="D20" s="6">
        <v>36000</v>
      </c>
      <c r="E20" s="6">
        <v>40000</v>
      </c>
      <c r="F20">
        <v>8</v>
      </c>
      <c r="G20" s="9">
        <v>0</v>
      </c>
      <c r="H20" t="s">
        <v>139</v>
      </c>
      <c r="J20" t="s">
        <v>160</v>
      </c>
      <c r="K20" s="8">
        <f t="shared" si="0"/>
        <v>288000</v>
      </c>
    </row>
    <row r="21" spans="1:11" x14ac:dyDescent="0.3">
      <c r="A21" t="s">
        <v>34</v>
      </c>
      <c r="B21" t="s">
        <v>8</v>
      </c>
      <c r="D21" s="6">
        <v>8500</v>
      </c>
      <c r="E21" s="6">
        <v>13000</v>
      </c>
      <c r="F21">
        <v>32</v>
      </c>
      <c r="G21" s="9">
        <v>0</v>
      </c>
      <c r="H21" t="s">
        <v>139</v>
      </c>
      <c r="J21" t="s">
        <v>160</v>
      </c>
      <c r="K21" s="8">
        <f t="shared" si="0"/>
        <v>272000</v>
      </c>
    </row>
    <row r="22" spans="1:11" x14ac:dyDescent="0.3">
      <c r="A22" t="s">
        <v>108</v>
      </c>
      <c r="B22" t="s">
        <v>8</v>
      </c>
      <c r="D22" s="6">
        <v>6000</v>
      </c>
      <c r="E22" s="6">
        <v>8000</v>
      </c>
      <c r="F22">
        <v>14</v>
      </c>
      <c r="G22" s="9">
        <v>0</v>
      </c>
      <c r="H22" t="s">
        <v>139</v>
      </c>
      <c r="J22" t="s">
        <v>160</v>
      </c>
      <c r="K22" s="8">
        <f t="shared" si="0"/>
        <v>84000</v>
      </c>
    </row>
    <row r="23" spans="1:11" x14ac:dyDescent="0.3">
      <c r="A23" t="s">
        <v>99</v>
      </c>
      <c r="B23" t="s">
        <v>8</v>
      </c>
      <c r="D23" s="6">
        <v>6000</v>
      </c>
      <c r="E23" s="6">
        <v>9000</v>
      </c>
      <c r="F23">
        <v>29</v>
      </c>
      <c r="G23" s="9">
        <v>0</v>
      </c>
      <c r="H23" t="s">
        <v>139</v>
      </c>
      <c r="J23" t="s">
        <v>160</v>
      </c>
      <c r="K23" s="8">
        <f t="shared" si="0"/>
        <v>174000</v>
      </c>
    </row>
    <row r="24" spans="1:11" x14ac:dyDescent="0.3">
      <c r="A24" t="s">
        <v>78</v>
      </c>
      <c r="B24" t="s">
        <v>8</v>
      </c>
      <c r="D24" s="6">
        <v>9000</v>
      </c>
      <c r="E24" s="6">
        <v>15000</v>
      </c>
      <c r="F24" s="6">
        <v>3049</v>
      </c>
      <c r="G24" s="9">
        <v>0</v>
      </c>
      <c r="H24" t="s">
        <v>139</v>
      </c>
      <c r="J24" t="s">
        <v>160</v>
      </c>
      <c r="K24" s="8">
        <f t="shared" si="0"/>
        <v>27441000</v>
      </c>
    </row>
    <row r="25" spans="1:11" x14ac:dyDescent="0.3">
      <c r="A25" t="s">
        <v>52</v>
      </c>
      <c r="B25" t="s">
        <v>8</v>
      </c>
      <c r="D25" s="6">
        <v>7000</v>
      </c>
      <c r="E25" s="6">
        <v>10000</v>
      </c>
      <c r="F25">
        <v>64</v>
      </c>
      <c r="G25" s="9">
        <v>0</v>
      </c>
      <c r="H25" t="s">
        <v>139</v>
      </c>
      <c r="J25" t="s">
        <v>160</v>
      </c>
      <c r="K25" s="8">
        <f t="shared" si="0"/>
        <v>448000</v>
      </c>
    </row>
    <row r="26" spans="1:11" x14ac:dyDescent="0.3">
      <c r="A26" t="s">
        <v>117</v>
      </c>
      <c r="B26" t="s">
        <v>8</v>
      </c>
      <c r="D26" s="6">
        <v>4000</v>
      </c>
      <c r="E26" s="6">
        <v>12000</v>
      </c>
      <c r="F26" s="6">
        <v>2176</v>
      </c>
      <c r="G26" s="9">
        <v>0</v>
      </c>
      <c r="H26" t="s">
        <v>139</v>
      </c>
      <c r="J26" t="s">
        <v>160</v>
      </c>
      <c r="K26" s="8">
        <f t="shared" si="0"/>
        <v>8704000</v>
      </c>
    </row>
    <row r="27" spans="1:11" x14ac:dyDescent="0.3">
      <c r="A27" t="s">
        <v>107</v>
      </c>
      <c r="B27" t="s">
        <v>8</v>
      </c>
      <c r="D27" s="6">
        <v>2500</v>
      </c>
      <c r="E27" s="6">
        <v>3500</v>
      </c>
      <c r="F27">
        <v>33</v>
      </c>
      <c r="G27" s="9">
        <v>0</v>
      </c>
      <c r="H27" t="s">
        <v>139</v>
      </c>
      <c r="J27" t="s">
        <v>160</v>
      </c>
      <c r="K27" s="8">
        <f t="shared" si="0"/>
        <v>82500</v>
      </c>
    </row>
    <row r="28" spans="1:11" x14ac:dyDescent="0.3">
      <c r="A28" t="s">
        <v>36</v>
      </c>
      <c r="B28" t="s">
        <v>8</v>
      </c>
      <c r="D28" s="6">
        <v>10500</v>
      </c>
      <c r="E28" s="6">
        <v>12000</v>
      </c>
      <c r="F28">
        <v>14</v>
      </c>
      <c r="G28" s="9">
        <v>0</v>
      </c>
      <c r="H28" t="s">
        <v>139</v>
      </c>
      <c r="J28" t="s">
        <v>160</v>
      </c>
      <c r="K28" s="8">
        <f t="shared" si="0"/>
        <v>147000</v>
      </c>
    </row>
    <row r="29" spans="1:11" x14ac:dyDescent="0.3">
      <c r="A29" t="s">
        <v>54</v>
      </c>
      <c r="B29" t="s">
        <v>8</v>
      </c>
      <c r="D29" s="6">
        <v>11675</v>
      </c>
      <c r="E29" s="6">
        <v>14000</v>
      </c>
      <c r="F29">
        <v>123</v>
      </c>
      <c r="G29" s="9">
        <v>0</v>
      </c>
      <c r="H29" t="s">
        <v>139</v>
      </c>
      <c r="J29" t="s">
        <v>160</v>
      </c>
      <c r="K29" s="8">
        <f t="shared" si="0"/>
        <v>1436025</v>
      </c>
    </row>
    <row r="30" spans="1:11" x14ac:dyDescent="0.3">
      <c r="A30" t="s">
        <v>119</v>
      </c>
      <c r="B30" t="s">
        <v>8</v>
      </c>
      <c r="D30" s="6">
        <v>52000</v>
      </c>
      <c r="E30" s="6">
        <v>60000</v>
      </c>
      <c r="F30">
        <v>0</v>
      </c>
      <c r="G30" s="9">
        <v>0</v>
      </c>
      <c r="H30" t="s">
        <v>139</v>
      </c>
      <c r="J30" t="s">
        <v>160</v>
      </c>
      <c r="K30" s="8">
        <f t="shared" si="0"/>
        <v>0</v>
      </c>
    </row>
    <row r="31" spans="1:11" x14ac:dyDescent="0.3">
      <c r="A31" t="s">
        <v>21</v>
      </c>
      <c r="B31" t="s">
        <v>8</v>
      </c>
      <c r="D31" s="6">
        <v>66000</v>
      </c>
      <c r="E31" s="6">
        <v>70000</v>
      </c>
      <c r="F31">
        <v>0</v>
      </c>
      <c r="G31" s="9">
        <v>0</v>
      </c>
      <c r="H31" t="s">
        <v>139</v>
      </c>
      <c r="J31" t="s">
        <v>160</v>
      </c>
      <c r="K31" s="8">
        <f t="shared" si="0"/>
        <v>0</v>
      </c>
    </row>
    <row r="32" spans="1:11" x14ac:dyDescent="0.3">
      <c r="A32" t="s">
        <v>16</v>
      </c>
      <c r="B32" t="s">
        <v>8</v>
      </c>
      <c r="D32" s="6">
        <v>66000</v>
      </c>
      <c r="E32" s="6">
        <v>70000</v>
      </c>
      <c r="F32">
        <v>0</v>
      </c>
      <c r="G32" s="9">
        <v>0</v>
      </c>
      <c r="H32" t="s">
        <v>139</v>
      </c>
      <c r="J32" t="s">
        <v>160</v>
      </c>
      <c r="K32" s="8">
        <f t="shared" si="0"/>
        <v>0</v>
      </c>
    </row>
    <row r="33" spans="1:11" x14ac:dyDescent="0.3">
      <c r="A33" t="s">
        <v>33</v>
      </c>
      <c r="B33" t="s">
        <v>8</v>
      </c>
      <c r="D33" s="6">
        <v>57000</v>
      </c>
      <c r="E33" s="6">
        <v>62000</v>
      </c>
      <c r="F33">
        <v>0</v>
      </c>
      <c r="G33" s="9">
        <v>0</v>
      </c>
      <c r="H33" t="s">
        <v>139</v>
      </c>
      <c r="J33" t="s">
        <v>160</v>
      </c>
      <c r="K33" s="8">
        <f t="shared" si="0"/>
        <v>0</v>
      </c>
    </row>
    <row r="34" spans="1:11" x14ac:dyDescent="0.3">
      <c r="A34" t="s">
        <v>14</v>
      </c>
      <c r="B34" t="s">
        <v>8</v>
      </c>
      <c r="D34" s="6">
        <v>66000</v>
      </c>
      <c r="E34" s="6">
        <v>70000</v>
      </c>
      <c r="F34">
        <v>0</v>
      </c>
      <c r="G34" s="9">
        <v>0</v>
      </c>
      <c r="H34" t="s">
        <v>139</v>
      </c>
      <c r="J34" t="s">
        <v>160</v>
      </c>
      <c r="K34" s="8">
        <f t="shared" si="0"/>
        <v>0</v>
      </c>
    </row>
    <row r="35" spans="1:11" x14ac:dyDescent="0.3">
      <c r="A35" t="s">
        <v>17</v>
      </c>
      <c r="B35" t="s">
        <v>8</v>
      </c>
      <c r="D35" s="6">
        <v>66000</v>
      </c>
      <c r="E35" s="6">
        <v>70000</v>
      </c>
      <c r="F35">
        <v>0</v>
      </c>
      <c r="G35" s="9">
        <v>0</v>
      </c>
      <c r="H35" t="s">
        <v>139</v>
      </c>
      <c r="J35" t="s">
        <v>160</v>
      </c>
      <c r="K35" s="8">
        <f t="shared" si="0"/>
        <v>0</v>
      </c>
    </row>
    <row r="36" spans="1:11" x14ac:dyDescent="0.3">
      <c r="A36" t="s">
        <v>15</v>
      </c>
      <c r="B36" t="s">
        <v>8</v>
      </c>
      <c r="D36" s="6">
        <v>66000</v>
      </c>
      <c r="E36" s="6">
        <v>70000</v>
      </c>
      <c r="F36">
        <v>100</v>
      </c>
      <c r="G36" s="9">
        <v>0</v>
      </c>
      <c r="H36" t="s">
        <v>139</v>
      </c>
      <c r="J36" t="s">
        <v>160</v>
      </c>
      <c r="K36" s="8">
        <f t="shared" si="0"/>
        <v>6600000</v>
      </c>
    </row>
    <row r="37" spans="1:11" x14ac:dyDescent="0.3">
      <c r="A37" t="s">
        <v>18</v>
      </c>
      <c r="B37" t="s">
        <v>8</v>
      </c>
      <c r="D37" s="6">
        <v>51500</v>
      </c>
      <c r="E37" s="6">
        <v>60000</v>
      </c>
      <c r="F37">
        <v>0</v>
      </c>
      <c r="G37" s="9">
        <v>0</v>
      </c>
      <c r="H37" t="s">
        <v>139</v>
      </c>
      <c r="J37" t="s">
        <v>160</v>
      </c>
      <c r="K37" s="8">
        <f t="shared" si="0"/>
        <v>0</v>
      </c>
    </row>
    <row r="38" spans="1:11" x14ac:dyDescent="0.3">
      <c r="A38" t="s">
        <v>13</v>
      </c>
      <c r="B38" t="s">
        <v>8</v>
      </c>
      <c r="D38" s="6">
        <v>62000</v>
      </c>
      <c r="E38" s="6">
        <v>75000</v>
      </c>
      <c r="F38">
        <v>0</v>
      </c>
      <c r="G38" s="9">
        <v>0</v>
      </c>
      <c r="H38" t="s">
        <v>139</v>
      </c>
      <c r="J38" t="s">
        <v>160</v>
      </c>
      <c r="K38" s="8">
        <f t="shared" si="0"/>
        <v>0</v>
      </c>
    </row>
    <row r="39" spans="1:11" x14ac:dyDescent="0.3">
      <c r="A39" t="s">
        <v>45</v>
      </c>
      <c r="B39" t="s">
        <v>8</v>
      </c>
      <c r="D39" s="6">
        <v>90000</v>
      </c>
      <c r="E39" s="6">
        <v>130000</v>
      </c>
      <c r="F39">
        <v>30</v>
      </c>
      <c r="G39" s="9">
        <v>0</v>
      </c>
      <c r="H39" t="s">
        <v>139</v>
      </c>
      <c r="J39" t="s">
        <v>160</v>
      </c>
      <c r="K39" s="8">
        <f t="shared" si="0"/>
        <v>2700000</v>
      </c>
    </row>
    <row r="40" spans="1:11" x14ac:dyDescent="0.3">
      <c r="A40" t="s">
        <v>76</v>
      </c>
      <c r="B40" t="s">
        <v>8</v>
      </c>
      <c r="D40" s="6">
        <v>10000</v>
      </c>
      <c r="E40" s="6">
        <v>12000</v>
      </c>
      <c r="F40">
        <v>0</v>
      </c>
      <c r="G40" s="9">
        <v>0</v>
      </c>
      <c r="H40" t="s">
        <v>139</v>
      </c>
      <c r="J40" t="s">
        <v>160</v>
      </c>
      <c r="K40" s="8">
        <f t="shared" si="0"/>
        <v>0</v>
      </c>
    </row>
    <row r="41" spans="1:11" x14ac:dyDescent="0.3">
      <c r="A41" t="s">
        <v>118</v>
      </c>
      <c r="B41" t="s">
        <v>8</v>
      </c>
      <c r="D41" s="6">
        <v>4500</v>
      </c>
      <c r="E41" s="6">
        <v>5500</v>
      </c>
      <c r="F41">
        <v>0</v>
      </c>
      <c r="G41" s="9">
        <v>0</v>
      </c>
      <c r="H41" t="s">
        <v>139</v>
      </c>
      <c r="J41" t="s">
        <v>160</v>
      </c>
      <c r="K41" s="8">
        <f t="shared" si="0"/>
        <v>0</v>
      </c>
    </row>
    <row r="42" spans="1:11" x14ac:dyDescent="0.3">
      <c r="A42" t="s">
        <v>37</v>
      </c>
      <c r="B42" t="s">
        <v>8</v>
      </c>
      <c r="D42" s="6">
        <v>48000</v>
      </c>
      <c r="E42" s="6">
        <v>50000</v>
      </c>
      <c r="F42">
        <v>50</v>
      </c>
      <c r="G42" s="9">
        <v>0</v>
      </c>
      <c r="H42" t="s">
        <v>139</v>
      </c>
      <c r="J42" t="s">
        <v>160</v>
      </c>
      <c r="K42" s="8">
        <f t="shared" si="0"/>
        <v>2400000</v>
      </c>
    </row>
    <row r="43" spans="1:11" x14ac:dyDescent="0.3">
      <c r="A43" t="s">
        <v>55</v>
      </c>
      <c r="B43" t="s">
        <v>8</v>
      </c>
      <c r="D43" s="6">
        <v>10000</v>
      </c>
      <c r="E43" s="6">
        <v>13000</v>
      </c>
      <c r="F43">
        <v>180</v>
      </c>
      <c r="G43" s="9">
        <v>0</v>
      </c>
      <c r="H43" t="s">
        <v>139</v>
      </c>
      <c r="J43" t="s">
        <v>160</v>
      </c>
      <c r="K43" s="8">
        <f t="shared" si="0"/>
        <v>1800000</v>
      </c>
    </row>
    <row r="44" spans="1:11" x14ac:dyDescent="0.3">
      <c r="A44" t="s">
        <v>123</v>
      </c>
      <c r="B44" t="s">
        <v>8</v>
      </c>
      <c r="D44" s="6">
        <v>66000</v>
      </c>
      <c r="E44" s="6">
        <v>70000</v>
      </c>
      <c r="F44">
        <v>0</v>
      </c>
      <c r="G44" s="9">
        <v>0</v>
      </c>
      <c r="H44" t="s">
        <v>139</v>
      </c>
      <c r="J44" t="s">
        <v>160</v>
      </c>
      <c r="K44" s="8">
        <f t="shared" si="0"/>
        <v>0</v>
      </c>
    </row>
    <row r="45" spans="1:11" x14ac:dyDescent="0.3">
      <c r="A45" t="s">
        <v>126</v>
      </c>
      <c r="B45" t="s">
        <v>8</v>
      </c>
      <c r="D45" s="6">
        <v>2000</v>
      </c>
      <c r="E45" s="6">
        <v>10000</v>
      </c>
      <c r="F45">
        <v>83</v>
      </c>
      <c r="G45" s="9">
        <v>0</v>
      </c>
      <c r="H45" t="s">
        <v>139</v>
      </c>
      <c r="J45" t="s">
        <v>160</v>
      </c>
      <c r="K45" s="8">
        <f t="shared" si="0"/>
        <v>166000</v>
      </c>
    </row>
    <row r="46" spans="1:11" x14ac:dyDescent="0.3">
      <c r="A46" t="s">
        <v>124</v>
      </c>
      <c r="B46" t="s">
        <v>8</v>
      </c>
      <c r="D46" s="6">
        <v>1500</v>
      </c>
      <c r="E46" s="6">
        <v>4000</v>
      </c>
      <c r="F46">
        <v>12</v>
      </c>
      <c r="G46" s="9">
        <v>0</v>
      </c>
      <c r="H46" t="s">
        <v>139</v>
      </c>
      <c r="J46" t="s">
        <v>160</v>
      </c>
      <c r="K46" s="8">
        <f t="shared" si="0"/>
        <v>18000</v>
      </c>
    </row>
    <row r="47" spans="1:11" x14ac:dyDescent="0.3">
      <c r="A47" t="s">
        <v>95</v>
      </c>
      <c r="B47" t="s">
        <v>8</v>
      </c>
      <c r="D47" s="6">
        <v>56000</v>
      </c>
      <c r="E47" s="6">
        <v>60000</v>
      </c>
      <c r="F47">
        <v>0</v>
      </c>
      <c r="G47" s="9">
        <v>0</v>
      </c>
      <c r="H47" t="s">
        <v>139</v>
      </c>
      <c r="J47" t="s">
        <v>160</v>
      </c>
      <c r="K47" s="8">
        <f t="shared" si="0"/>
        <v>0</v>
      </c>
    </row>
    <row r="48" spans="1:11" x14ac:dyDescent="0.3">
      <c r="A48" t="s">
        <v>22</v>
      </c>
      <c r="B48" t="s">
        <v>8</v>
      </c>
      <c r="D48" s="6">
        <v>10400</v>
      </c>
      <c r="E48" s="6">
        <v>12000</v>
      </c>
      <c r="F48" s="6">
        <v>1670</v>
      </c>
      <c r="G48" s="9">
        <v>0</v>
      </c>
      <c r="H48" t="s">
        <v>139</v>
      </c>
      <c r="J48" t="s">
        <v>160</v>
      </c>
      <c r="K48" s="8">
        <f t="shared" si="0"/>
        <v>17368000</v>
      </c>
    </row>
    <row r="49" spans="1:11" x14ac:dyDescent="0.3">
      <c r="A49" t="s">
        <v>42</v>
      </c>
      <c r="B49" t="s">
        <v>8</v>
      </c>
      <c r="D49" s="6">
        <v>11000</v>
      </c>
      <c r="E49" s="6">
        <v>12000</v>
      </c>
      <c r="F49" s="6">
        <v>1950</v>
      </c>
      <c r="G49" s="9">
        <v>0</v>
      </c>
      <c r="H49" t="s">
        <v>139</v>
      </c>
      <c r="J49" t="s">
        <v>160</v>
      </c>
      <c r="K49" s="8">
        <f t="shared" si="0"/>
        <v>21450000</v>
      </c>
    </row>
    <row r="50" spans="1:11" x14ac:dyDescent="0.3">
      <c r="A50" t="s">
        <v>70</v>
      </c>
      <c r="B50" t="s">
        <v>8</v>
      </c>
      <c r="D50">
        <v>500</v>
      </c>
      <c r="E50" s="6">
        <v>3000</v>
      </c>
      <c r="F50" s="6">
        <v>7892</v>
      </c>
      <c r="G50" s="9">
        <v>0</v>
      </c>
      <c r="H50" t="s">
        <v>139</v>
      </c>
      <c r="J50" t="s">
        <v>160</v>
      </c>
      <c r="K50" s="8">
        <f t="shared" si="0"/>
        <v>3946000</v>
      </c>
    </row>
    <row r="51" spans="1:11" x14ac:dyDescent="0.3">
      <c r="A51" t="s">
        <v>44</v>
      </c>
      <c r="B51" t="s">
        <v>8</v>
      </c>
      <c r="D51" s="6">
        <v>66000</v>
      </c>
      <c r="E51" s="6">
        <v>70000</v>
      </c>
      <c r="F51">
        <v>0</v>
      </c>
      <c r="G51" s="9">
        <v>0</v>
      </c>
      <c r="H51" t="s">
        <v>139</v>
      </c>
      <c r="J51" t="s">
        <v>160</v>
      </c>
      <c r="K51" s="8">
        <f t="shared" si="0"/>
        <v>0</v>
      </c>
    </row>
    <row r="52" spans="1:11" x14ac:dyDescent="0.3">
      <c r="A52" t="s">
        <v>109</v>
      </c>
      <c r="B52" t="s">
        <v>8</v>
      </c>
      <c r="D52" s="6">
        <v>3400</v>
      </c>
      <c r="E52" s="6">
        <v>5500</v>
      </c>
      <c r="F52">
        <v>9</v>
      </c>
      <c r="G52" s="9">
        <v>0</v>
      </c>
      <c r="H52" t="s">
        <v>139</v>
      </c>
      <c r="J52" t="s">
        <v>160</v>
      </c>
      <c r="K52" s="8">
        <f t="shared" si="0"/>
        <v>30600</v>
      </c>
    </row>
    <row r="53" spans="1:11" x14ac:dyDescent="0.3">
      <c r="A53" t="s">
        <v>92</v>
      </c>
      <c r="B53" t="s">
        <v>8</v>
      </c>
      <c r="D53" s="6">
        <v>11500</v>
      </c>
      <c r="E53" s="6">
        <v>14000</v>
      </c>
      <c r="F53">
        <v>10</v>
      </c>
      <c r="G53" s="9">
        <v>0</v>
      </c>
      <c r="H53" t="s">
        <v>139</v>
      </c>
      <c r="J53" t="s">
        <v>160</v>
      </c>
      <c r="K53" s="8">
        <f t="shared" si="0"/>
        <v>115000</v>
      </c>
    </row>
    <row r="54" spans="1:11" x14ac:dyDescent="0.3">
      <c r="A54" t="s">
        <v>158</v>
      </c>
      <c r="B54" t="s">
        <v>8</v>
      </c>
      <c r="D54" s="6">
        <v>10000</v>
      </c>
      <c r="E54" s="6">
        <v>14000</v>
      </c>
      <c r="F54">
        <v>6</v>
      </c>
      <c r="G54" s="9">
        <v>0</v>
      </c>
      <c r="H54" t="s">
        <v>139</v>
      </c>
      <c r="J54" t="s">
        <v>160</v>
      </c>
      <c r="K54" s="8">
        <f t="shared" si="0"/>
        <v>60000</v>
      </c>
    </row>
    <row r="55" spans="1:11" x14ac:dyDescent="0.3">
      <c r="A55" t="s">
        <v>98</v>
      </c>
      <c r="B55" t="s">
        <v>8</v>
      </c>
      <c r="D55" s="6">
        <v>4500</v>
      </c>
      <c r="E55" s="6">
        <v>5500</v>
      </c>
      <c r="F55">
        <v>8</v>
      </c>
      <c r="G55" s="9">
        <v>0</v>
      </c>
      <c r="H55" t="s">
        <v>139</v>
      </c>
      <c r="J55" t="s">
        <v>160</v>
      </c>
      <c r="K55" s="8">
        <f t="shared" si="0"/>
        <v>36000</v>
      </c>
    </row>
    <row r="56" spans="1:11" x14ac:dyDescent="0.3">
      <c r="A56" t="s">
        <v>93</v>
      </c>
      <c r="B56" t="s">
        <v>8</v>
      </c>
      <c r="D56" s="6">
        <v>10000</v>
      </c>
      <c r="E56" s="6">
        <v>12000</v>
      </c>
      <c r="F56">
        <v>13</v>
      </c>
      <c r="G56" s="9">
        <v>0</v>
      </c>
      <c r="H56" t="s">
        <v>139</v>
      </c>
      <c r="J56" t="s">
        <v>160</v>
      </c>
      <c r="K56" s="8">
        <f t="shared" si="0"/>
        <v>130000</v>
      </c>
    </row>
    <row r="57" spans="1:11" x14ac:dyDescent="0.3">
      <c r="A57" t="s">
        <v>162</v>
      </c>
      <c r="B57" t="s">
        <v>8</v>
      </c>
      <c r="D57" s="6">
        <v>6550</v>
      </c>
      <c r="E57" s="6">
        <v>10000</v>
      </c>
      <c r="F57">
        <v>10</v>
      </c>
      <c r="G57" s="9">
        <v>0</v>
      </c>
      <c r="H57" t="s">
        <v>139</v>
      </c>
      <c r="J57" t="s">
        <v>160</v>
      </c>
      <c r="K57" s="8">
        <f t="shared" si="0"/>
        <v>65500</v>
      </c>
    </row>
    <row r="58" spans="1:11" x14ac:dyDescent="0.3">
      <c r="A58" t="s">
        <v>141</v>
      </c>
      <c r="B58" t="s">
        <v>8</v>
      </c>
      <c r="D58">
        <v>180</v>
      </c>
      <c r="E58">
        <v>400</v>
      </c>
      <c r="F58">
        <v>58</v>
      </c>
      <c r="G58" s="9">
        <v>0</v>
      </c>
      <c r="H58" t="s">
        <v>139</v>
      </c>
      <c r="J58" t="s">
        <v>160</v>
      </c>
      <c r="K58" s="8">
        <f t="shared" si="0"/>
        <v>10440</v>
      </c>
    </row>
    <row r="59" spans="1:11" x14ac:dyDescent="0.3">
      <c r="A59" t="s">
        <v>163</v>
      </c>
      <c r="B59" t="s">
        <v>8</v>
      </c>
      <c r="D59" s="6">
        <v>56000</v>
      </c>
      <c r="E59" s="6">
        <v>60000</v>
      </c>
      <c r="F59">
        <v>0</v>
      </c>
      <c r="G59" s="9">
        <v>0</v>
      </c>
      <c r="H59" t="s">
        <v>139</v>
      </c>
      <c r="J59" t="s">
        <v>160</v>
      </c>
      <c r="K59" s="8">
        <f t="shared" si="0"/>
        <v>0</v>
      </c>
    </row>
    <row r="60" spans="1:11" x14ac:dyDescent="0.3">
      <c r="A60" t="s">
        <v>11</v>
      </c>
      <c r="B60" t="s">
        <v>8</v>
      </c>
      <c r="D60" s="6">
        <v>63000</v>
      </c>
      <c r="E60" s="6">
        <v>70000</v>
      </c>
      <c r="F60">
        <v>0</v>
      </c>
      <c r="G60" s="9">
        <v>0</v>
      </c>
      <c r="H60" t="s">
        <v>139</v>
      </c>
      <c r="J60" t="s">
        <v>160</v>
      </c>
      <c r="K60" s="8">
        <f t="shared" si="0"/>
        <v>0</v>
      </c>
    </row>
    <row r="61" spans="1:11" x14ac:dyDescent="0.3">
      <c r="A61" t="s">
        <v>105</v>
      </c>
      <c r="B61" t="s">
        <v>8</v>
      </c>
      <c r="D61" s="6">
        <v>34500</v>
      </c>
      <c r="E61" s="6">
        <v>40000</v>
      </c>
      <c r="F61">
        <v>0</v>
      </c>
      <c r="G61" s="9">
        <v>0</v>
      </c>
      <c r="H61" t="s">
        <v>139</v>
      </c>
      <c r="J61" t="s">
        <v>160</v>
      </c>
      <c r="K61" s="8">
        <f t="shared" si="0"/>
        <v>0</v>
      </c>
    </row>
    <row r="62" spans="1:11" x14ac:dyDescent="0.3">
      <c r="A62" t="s">
        <v>28</v>
      </c>
      <c r="B62" t="s">
        <v>8</v>
      </c>
      <c r="D62" s="6">
        <v>22000</v>
      </c>
      <c r="E62" s="6">
        <v>25000</v>
      </c>
      <c r="F62">
        <v>24</v>
      </c>
      <c r="G62" s="9">
        <v>0</v>
      </c>
      <c r="H62" t="s">
        <v>139</v>
      </c>
      <c r="J62" t="s">
        <v>160</v>
      </c>
      <c r="K62" s="8">
        <f t="shared" si="0"/>
        <v>528000</v>
      </c>
    </row>
    <row r="63" spans="1:11" x14ac:dyDescent="0.3">
      <c r="A63" t="s">
        <v>80</v>
      </c>
      <c r="B63" t="s">
        <v>8</v>
      </c>
      <c r="D63" s="6">
        <v>40000</v>
      </c>
      <c r="E63" s="6">
        <v>50000</v>
      </c>
      <c r="F63">
        <v>0</v>
      </c>
      <c r="G63" s="9">
        <v>0</v>
      </c>
      <c r="H63" t="s">
        <v>139</v>
      </c>
      <c r="J63" t="s">
        <v>160</v>
      </c>
      <c r="K63" s="8">
        <f t="shared" si="0"/>
        <v>0</v>
      </c>
    </row>
    <row r="64" spans="1:11" x14ac:dyDescent="0.3">
      <c r="A64" t="s">
        <v>106</v>
      </c>
      <c r="B64" t="s">
        <v>8</v>
      </c>
      <c r="D64" s="6">
        <v>63000</v>
      </c>
      <c r="E64" s="6">
        <v>75000</v>
      </c>
      <c r="F64">
        <v>0</v>
      </c>
      <c r="G64" s="9">
        <v>0</v>
      </c>
      <c r="H64" t="s">
        <v>139</v>
      </c>
      <c r="J64" t="s">
        <v>160</v>
      </c>
      <c r="K64" s="8">
        <f t="shared" si="0"/>
        <v>0</v>
      </c>
    </row>
    <row r="65" spans="1:11" x14ac:dyDescent="0.3">
      <c r="A65" t="s">
        <v>94</v>
      </c>
      <c r="B65" t="s">
        <v>8</v>
      </c>
      <c r="D65" s="6">
        <v>27000</v>
      </c>
      <c r="E65" s="6">
        <v>29000</v>
      </c>
      <c r="F65">
        <v>0</v>
      </c>
      <c r="G65" s="9">
        <v>0</v>
      </c>
      <c r="H65" t="s">
        <v>139</v>
      </c>
      <c r="J65" t="s">
        <v>160</v>
      </c>
      <c r="K65" s="8">
        <f t="shared" si="0"/>
        <v>0</v>
      </c>
    </row>
    <row r="66" spans="1:11" x14ac:dyDescent="0.3">
      <c r="A66" t="s">
        <v>127</v>
      </c>
      <c r="B66" t="s">
        <v>8</v>
      </c>
      <c r="D66" s="6">
        <v>52000</v>
      </c>
      <c r="E66" s="6">
        <v>60000</v>
      </c>
      <c r="F66">
        <v>0</v>
      </c>
      <c r="G66" s="9">
        <v>0</v>
      </c>
      <c r="H66" t="s">
        <v>139</v>
      </c>
      <c r="J66" t="s">
        <v>160</v>
      </c>
      <c r="K66" s="8">
        <f t="shared" si="0"/>
        <v>0</v>
      </c>
    </row>
    <row r="67" spans="1:11" x14ac:dyDescent="0.3">
      <c r="A67" t="s">
        <v>39</v>
      </c>
      <c r="B67" t="s">
        <v>8</v>
      </c>
      <c r="D67" s="6">
        <v>10250</v>
      </c>
      <c r="E67" s="6">
        <v>12000</v>
      </c>
      <c r="F67" s="6">
        <v>1300</v>
      </c>
      <c r="G67" s="9">
        <v>0</v>
      </c>
      <c r="H67" t="s">
        <v>139</v>
      </c>
      <c r="J67" t="s">
        <v>160</v>
      </c>
      <c r="K67" s="8">
        <f t="shared" ref="K67:K130" si="1">D67*F67</f>
        <v>13325000</v>
      </c>
    </row>
    <row r="68" spans="1:11" x14ac:dyDescent="0.3">
      <c r="A68" t="s">
        <v>120</v>
      </c>
      <c r="B68" t="s">
        <v>8</v>
      </c>
      <c r="D68" s="6">
        <v>8700</v>
      </c>
      <c r="E68" s="6">
        <v>10000</v>
      </c>
      <c r="F68">
        <v>0</v>
      </c>
      <c r="G68" s="9">
        <v>0</v>
      </c>
      <c r="H68" t="s">
        <v>139</v>
      </c>
      <c r="J68" t="s">
        <v>160</v>
      </c>
      <c r="K68" s="8">
        <f t="shared" si="1"/>
        <v>0</v>
      </c>
    </row>
    <row r="69" spans="1:11" x14ac:dyDescent="0.3">
      <c r="A69" t="s">
        <v>125</v>
      </c>
      <c r="B69" t="s">
        <v>8</v>
      </c>
      <c r="D69" s="6">
        <v>17200</v>
      </c>
      <c r="E69" s="6">
        <v>20000</v>
      </c>
      <c r="F69">
        <v>0</v>
      </c>
      <c r="G69" s="9">
        <v>0</v>
      </c>
      <c r="H69" t="s">
        <v>139</v>
      </c>
      <c r="J69" t="s">
        <v>160</v>
      </c>
      <c r="K69" s="8">
        <f t="shared" si="1"/>
        <v>0</v>
      </c>
    </row>
    <row r="70" spans="1:11" x14ac:dyDescent="0.3">
      <c r="A70" t="s">
        <v>49</v>
      </c>
      <c r="B70" t="s">
        <v>8</v>
      </c>
      <c r="D70" s="6">
        <v>4000</v>
      </c>
      <c r="E70" s="6">
        <v>6000</v>
      </c>
      <c r="F70" s="6">
        <v>14088</v>
      </c>
      <c r="G70" s="9">
        <v>0</v>
      </c>
      <c r="H70" t="s">
        <v>139</v>
      </c>
      <c r="J70" t="s">
        <v>160</v>
      </c>
      <c r="K70" s="8">
        <f t="shared" si="1"/>
        <v>56352000</v>
      </c>
    </row>
    <row r="71" spans="1:11" x14ac:dyDescent="0.3">
      <c r="A71" t="s">
        <v>73</v>
      </c>
      <c r="B71" t="s">
        <v>8</v>
      </c>
      <c r="D71" s="6">
        <v>27000</v>
      </c>
      <c r="E71" s="6">
        <v>51000</v>
      </c>
      <c r="F71">
        <v>0</v>
      </c>
      <c r="G71" s="9">
        <v>0</v>
      </c>
      <c r="H71" t="s">
        <v>139</v>
      </c>
      <c r="J71" t="s">
        <v>160</v>
      </c>
      <c r="K71" s="8">
        <f t="shared" si="1"/>
        <v>0</v>
      </c>
    </row>
    <row r="72" spans="1:11" x14ac:dyDescent="0.3">
      <c r="A72" t="s">
        <v>50</v>
      </c>
      <c r="B72" t="s">
        <v>8</v>
      </c>
      <c r="D72" s="6">
        <v>11700</v>
      </c>
      <c r="E72" s="6">
        <v>15000</v>
      </c>
      <c r="F72">
        <v>0</v>
      </c>
      <c r="G72" s="9">
        <v>0</v>
      </c>
      <c r="H72" t="s">
        <v>139</v>
      </c>
      <c r="J72" t="s">
        <v>160</v>
      </c>
      <c r="K72" s="8">
        <f t="shared" si="1"/>
        <v>0</v>
      </c>
    </row>
    <row r="73" spans="1:11" x14ac:dyDescent="0.3">
      <c r="A73" t="s">
        <v>31</v>
      </c>
      <c r="B73" t="s">
        <v>8</v>
      </c>
      <c r="D73" s="6">
        <v>18600</v>
      </c>
      <c r="E73" s="6">
        <v>18000</v>
      </c>
      <c r="F73">
        <v>0</v>
      </c>
      <c r="G73" s="9">
        <v>0</v>
      </c>
      <c r="H73" t="s">
        <v>139</v>
      </c>
      <c r="J73" t="s">
        <v>160</v>
      </c>
      <c r="K73" s="8">
        <f t="shared" si="1"/>
        <v>0</v>
      </c>
    </row>
    <row r="74" spans="1:11" x14ac:dyDescent="0.3">
      <c r="A74" t="s">
        <v>130</v>
      </c>
      <c r="B74" t="s">
        <v>8</v>
      </c>
      <c r="D74" s="6">
        <v>135000</v>
      </c>
      <c r="E74" s="6">
        <v>350000</v>
      </c>
      <c r="F74">
        <v>8</v>
      </c>
      <c r="G74" s="9">
        <v>0</v>
      </c>
      <c r="H74" t="s">
        <v>139</v>
      </c>
      <c r="J74" t="s">
        <v>160</v>
      </c>
      <c r="K74" s="8">
        <f t="shared" si="1"/>
        <v>1080000</v>
      </c>
    </row>
    <row r="75" spans="1:11" x14ac:dyDescent="0.3">
      <c r="A75" t="s">
        <v>53</v>
      </c>
      <c r="B75" t="s">
        <v>8</v>
      </c>
      <c r="D75" s="6">
        <v>135300</v>
      </c>
      <c r="E75" s="6">
        <v>600000</v>
      </c>
      <c r="F75">
        <v>130</v>
      </c>
      <c r="G75" s="9">
        <v>0</v>
      </c>
      <c r="H75" t="s">
        <v>139</v>
      </c>
      <c r="J75" t="s">
        <v>160</v>
      </c>
      <c r="K75" s="8">
        <f t="shared" si="1"/>
        <v>17589000</v>
      </c>
    </row>
    <row r="76" spans="1:11" x14ac:dyDescent="0.3">
      <c r="A76" t="s">
        <v>46</v>
      </c>
      <c r="B76" t="s">
        <v>8</v>
      </c>
      <c r="D76" s="6">
        <v>135300</v>
      </c>
      <c r="E76" s="6">
        <v>350000</v>
      </c>
      <c r="F76">
        <v>0</v>
      </c>
      <c r="G76" s="9">
        <v>0</v>
      </c>
      <c r="H76" t="s">
        <v>139</v>
      </c>
      <c r="J76" t="s">
        <v>160</v>
      </c>
      <c r="K76" s="8">
        <f t="shared" si="1"/>
        <v>0</v>
      </c>
    </row>
    <row r="77" spans="1:11" x14ac:dyDescent="0.3">
      <c r="A77" t="s">
        <v>47</v>
      </c>
      <c r="B77" t="s">
        <v>8</v>
      </c>
      <c r="D77" s="6">
        <v>10595</v>
      </c>
      <c r="E77" s="6">
        <v>13000</v>
      </c>
      <c r="F77">
        <v>0</v>
      </c>
      <c r="G77" s="9">
        <v>0</v>
      </c>
      <c r="H77" t="s">
        <v>139</v>
      </c>
      <c r="J77" t="s">
        <v>160</v>
      </c>
      <c r="K77" s="8">
        <f t="shared" si="1"/>
        <v>0</v>
      </c>
    </row>
    <row r="78" spans="1:11" x14ac:dyDescent="0.3">
      <c r="A78" t="s">
        <v>48</v>
      </c>
      <c r="B78" t="s">
        <v>8</v>
      </c>
      <c r="D78" s="6">
        <v>11375</v>
      </c>
      <c r="E78" s="6">
        <v>13500</v>
      </c>
      <c r="F78">
        <v>0</v>
      </c>
      <c r="G78" s="9">
        <v>0</v>
      </c>
      <c r="H78" t="s">
        <v>139</v>
      </c>
      <c r="J78" t="s">
        <v>160</v>
      </c>
      <c r="K78" s="8">
        <f t="shared" si="1"/>
        <v>0</v>
      </c>
    </row>
    <row r="79" spans="1:11" x14ac:dyDescent="0.3">
      <c r="A79" t="s">
        <v>56</v>
      </c>
      <c r="B79" t="s">
        <v>8</v>
      </c>
      <c r="D79" s="6">
        <v>10200</v>
      </c>
      <c r="E79" s="6">
        <v>12000</v>
      </c>
      <c r="F79">
        <v>0</v>
      </c>
      <c r="G79" s="9">
        <v>0</v>
      </c>
      <c r="H79" t="s">
        <v>139</v>
      </c>
      <c r="J79" t="s">
        <v>160</v>
      </c>
      <c r="K79" s="8">
        <f t="shared" si="1"/>
        <v>0</v>
      </c>
    </row>
    <row r="80" spans="1:11" x14ac:dyDescent="0.3">
      <c r="A80" t="s">
        <v>57</v>
      </c>
      <c r="B80" t="s">
        <v>8</v>
      </c>
      <c r="D80" s="6">
        <v>90000</v>
      </c>
      <c r="E80" s="6">
        <v>150000</v>
      </c>
      <c r="F80">
        <v>0</v>
      </c>
      <c r="G80" s="9">
        <v>0</v>
      </c>
      <c r="H80" t="s">
        <v>139</v>
      </c>
      <c r="J80" t="s">
        <v>160</v>
      </c>
      <c r="K80" s="8">
        <f t="shared" si="1"/>
        <v>0</v>
      </c>
    </row>
    <row r="81" spans="1:11" x14ac:dyDescent="0.3">
      <c r="A81" t="s">
        <v>30</v>
      </c>
      <c r="B81" t="s">
        <v>8</v>
      </c>
      <c r="D81" s="6">
        <v>17000</v>
      </c>
      <c r="E81" s="6">
        <v>22000</v>
      </c>
      <c r="F81">
        <v>0</v>
      </c>
      <c r="G81" s="9">
        <v>0</v>
      </c>
      <c r="H81" t="s">
        <v>139</v>
      </c>
      <c r="J81" t="s">
        <v>160</v>
      </c>
      <c r="K81" s="8">
        <f t="shared" si="1"/>
        <v>0</v>
      </c>
    </row>
    <row r="82" spans="1:11" x14ac:dyDescent="0.3">
      <c r="A82" t="s">
        <v>24</v>
      </c>
      <c r="B82" t="s">
        <v>8</v>
      </c>
      <c r="D82" s="6">
        <v>10000</v>
      </c>
      <c r="E82" s="6">
        <v>10000</v>
      </c>
      <c r="F82">
        <v>0</v>
      </c>
      <c r="G82" s="9">
        <v>0</v>
      </c>
      <c r="H82" t="s">
        <v>139</v>
      </c>
      <c r="J82" t="s">
        <v>160</v>
      </c>
      <c r="K82" s="8">
        <f t="shared" si="1"/>
        <v>0</v>
      </c>
    </row>
    <row r="83" spans="1:11" x14ac:dyDescent="0.3">
      <c r="A83" t="s">
        <v>128</v>
      </c>
      <c r="B83" t="s">
        <v>8</v>
      </c>
      <c r="D83" s="6">
        <v>9000</v>
      </c>
      <c r="E83" s="6">
        <v>7000</v>
      </c>
      <c r="F83">
        <v>0</v>
      </c>
      <c r="G83" s="9">
        <v>0</v>
      </c>
      <c r="H83" t="s">
        <v>139</v>
      </c>
      <c r="J83" t="s">
        <v>160</v>
      </c>
      <c r="K83" s="8">
        <f t="shared" si="1"/>
        <v>0</v>
      </c>
    </row>
    <row r="84" spans="1:11" x14ac:dyDescent="0.3">
      <c r="A84" t="s">
        <v>84</v>
      </c>
      <c r="B84" t="s">
        <v>8</v>
      </c>
      <c r="D84" s="6">
        <v>41000</v>
      </c>
      <c r="E84" s="6">
        <v>38000</v>
      </c>
      <c r="F84">
        <v>0</v>
      </c>
      <c r="G84" s="9">
        <v>0</v>
      </c>
      <c r="H84" t="s">
        <v>139</v>
      </c>
      <c r="J84" t="s">
        <v>160</v>
      </c>
      <c r="K84" s="8">
        <f t="shared" si="1"/>
        <v>0</v>
      </c>
    </row>
    <row r="85" spans="1:11" x14ac:dyDescent="0.3">
      <c r="A85" t="s">
        <v>121</v>
      </c>
      <c r="B85" t="s">
        <v>8</v>
      </c>
      <c r="D85" s="6">
        <v>4500</v>
      </c>
      <c r="E85" s="6">
        <v>6000</v>
      </c>
      <c r="F85">
        <v>0</v>
      </c>
      <c r="G85" s="9">
        <v>0</v>
      </c>
      <c r="H85" t="s">
        <v>139</v>
      </c>
      <c r="J85" t="s">
        <v>160</v>
      </c>
      <c r="K85" s="8">
        <f t="shared" si="1"/>
        <v>0</v>
      </c>
    </row>
    <row r="86" spans="1:11" x14ac:dyDescent="0.3">
      <c r="A86" t="s">
        <v>96</v>
      </c>
      <c r="B86" t="s">
        <v>8</v>
      </c>
      <c r="D86" s="6">
        <v>9000</v>
      </c>
      <c r="E86" s="6">
        <v>7000</v>
      </c>
      <c r="F86">
        <v>0</v>
      </c>
      <c r="G86" s="9">
        <v>0</v>
      </c>
      <c r="H86" t="s">
        <v>139</v>
      </c>
      <c r="J86" t="s">
        <v>160</v>
      </c>
      <c r="K86" s="8">
        <f t="shared" si="1"/>
        <v>0</v>
      </c>
    </row>
    <row r="87" spans="1:11" x14ac:dyDescent="0.3">
      <c r="A87" t="s">
        <v>77</v>
      </c>
      <c r="B87" t="s">
        <v>8</v>
      </c>
      <c r="D87" s="6">
        <v>14200</v>
      </c>
      <c r="E87" s="6">
        <v>20000</v>
      </c>
      <c r="F87">
        <v>0</v>
      </c>
      <c r="G87" s="9">
        <v>0</v>
      </c>
      <c r="H87" t="s">
        <v>139</v>
      </c>
      <c r="J87" t="s">
        <v>160</v>
      </c>
      <c r="K87" s="8">
        <f t="shared" si="1"/>
        <v>0</v>
      </c>
    </row>
    <row r="88" spans="1:11" x14ac:dyDescent="0.3">
      <c r="A88" t="s">
        <v>19</v>
      </c>
      <c r="B88" t="s">
        <v>8</v>
      </c>
      <c r="D88" s="6">
        <v>66000</v>
      </c>
      <c r="E88" s="6">
        <v>70000</v>
      </c>
      <c r="F88">
        <v>0</v>
      </c>
      <c r="G88" s="9">
        <v>0</v>
      </c>
      <c r="H88" t="s">
        <v>139</v>
      </c>
      <c r="J88" t="s">
        <v>160</v>
      </c>
      <c r="K88" s="8">
        <f t="shared" si="1"/>
        <v>0</v>
      </c>
    </row>
    <row r="89" spans="1:11" x14ac:dyDescent="0.3">
      <c r="A89" t="s">
        <v>27</v>
      </c>
      <c r="B89" t="s">
        <v>8</v>
      </c>
      <c r="D89" s="6">
        <v>9000</v>
      </c>
      <c r="E89" s="6">
        <v>15000</v>
      </c>
      <c r="F89">
        <v>0</v>
      </c>
      <c r="G89" s="9">
        <v>0</v>
      </c>
      <c r="H89" t="s">
        <v>139</v>
      </c>
      <c r="J89" t="s">
        <v>160</v>
      </c>
      <c r="K89" s="8">
        <f t="shared" si="1"/>
        <v>0</v>
      </c>
    </row>
    <row r="90" spans="1:11" x14ac:dyDescent="0.3">
      <c r="A90" t="s">
        <v>40</v>
      </c>
      <c r="B90" t="s">
        <v>8</v>
      </c>
      <c r="D90" s="6">
        <v>10500</v>
      </c>
      <c r="E90" s="6">
        <v>12000</v>
      </c>
      <c r="F90">
        <v>0</v>
      </c>
      <c r="G90" s="9">
        <v>0</v>
      </c>
      <c r="H90" t="s">
        <v>139</v>
      </c>
      <c r="J90" t="s">
        <v>160</v>
      </c>
      <c r="K90" s="8">
        <f t="shared" si="1"/>
        <v>0</v>
      </c>
    </row>
    <row r="91" spans="1:11" x14ac:dyDescent="0.3">
      <c r="A91" t="s">
        <v>90</v>
      </c>
      <c r="B91" t="s">
        <v>8</v>
      </c>
      <c r="D91" s="6">
        <v>10500</v>
      </c>
      <c r="E91" s="6">
        <v>12000</v>
      </c>
      <c r="F91">
        <v>0</v>
      </c>
      <c r="G91" s="9">
        <v>0</v>
      </c>
      <c r="H91" t="s">
        <v>139</v>
      </c>
      <c r="J91" t="s">
        <v>160</v>
      </c>
      <c r="K91" s="8">
        <f t="shared" si="1"/>
        <v>0</v>
      </c>
    </row>
    <row r="92" spans="1:11" x14ac:dyDescent="0.3">
      <c r="A92" t="s">
        <v>60</v>
      </c>
      <c r="B92" t="s">
        <v>8</v>
      </c>
      <c r="D92" s="6">
        <v>11419</v>
      </c>
      <c r="E92" s="6">
        <v>12500</v>
      </c>
      <c r="F92">
        <v>0</v>
      </c>
      <c r="G92" s="9">
        <v>0</v>
      </c>
      <c r="H92" t="s">
        <v>139</v>
      </c>
      <c r="J92" t="s">
        <v>160</v>
      </c>
      <c r="K92" s="8">
        <f t="shared" si="1"/>
        <v>0</v>
      </c>
    </row>
    <row r="93" spans="1:11" x14ac:dyDescent="0.3">
      <c r="A93" t="s">
        <v>75</v>
      </c>
      <c r="B93" t="s">
        <v>8</v>
      </c>
      <c r="D93" s="6">
        <v>33000</v>
      </c>
      <c r="E93" s="6">
        <v>37000</v>
      </c>
      <c r="F93">
        <v>60</v>
      </c>
      <c r="G93" s="9">
        <v>0</v>
      </c>
      <c r="H93" t="s">
        <v>139</v>
      </c>
      <c r="J93" t="s">
        <v>160</v>
      </c>
      <c r="K93" s="8">
        <f t="shared" si="1"/>
        <v>1980000</v>
      </c>
    </row>
    <row r="94" spans="1:11" x14ac:dyDescent="0.3">
      <c r="A94" t="s">
        <v>136</v>
      </c>
      <c r="B94" t="s">
        <v>8</v>
      </c>
      <c r="D94" s="6">
        <v>1500</v>
      </c>
      <c r="E94" s="6">
        <v>5000</v>
      </c>
      <c r="F94" s="6">
        <v>3119</v>
      </c>
      <c r="G94" s="9">
        <v>0</v>
      </c>
      <c r="H94" t="s">
        <v>139</v>
      </c>
      <c r="J94" t="s">
        <v>160</v>
      </c>
      <c r="K94" s="8">
        <f t="shared" si="1"/>
        <v>4678500</v>
      </c>
    </row>
    <row r="95" spans="1:11" x14ac:dyDescent="0.3">
      <c r="A95" t="s">
        <v>41</v>
      </c>
      <c r="B95" t="s">
        <v>8</v>
      </c>
      <c r="D95" s="6">
        <v>10500</v>
      </c>
      <c r="E95" s="6">
        <v>12000</v>
      </c>
      <c r="F95">
        <v>0</v>
      </c>
      <c r="G95" s="9">
        <v>0</v>
      </c>
      <c r="H95" t="s">
        <v>139</v>
      </c>
      <c r="J95" t="s">
        <v>160</v>
      </c>
      <c r="K95" s="8">
        <f t="shared" si="1"/>
        <v>0</v>
      </c>
    </row>
    <row r="96" spans="1:11" x14ac:dyDescent="0.3">
      <c r="A96" t="s">
        <v>32</v>
      </c>
      <c r="B96" t="s">
        <v>8</v>
      </c>
      <c r="D96" s="6">
        <v>25000</v>
      </c>
      <c r="E96" s="6">
        <v>30000</v>
      </c>
      <c r="F96">
        <v>0</v>
      </c>
      <c r="G96" s="9">
        <v>0</v>
      </c>
      <c r="H96" t="s">
        <v>139</v>
      </c>
      <c r="J96" t="s">
        <v>160</v>
      </c>
      <c r="K96" s="8">
        <f t="shared" si="1"/>
        <v>0</v>
      </c>
    </row>
    <row r="97" spans="1:11" x14ac:dyDescent="0.3">
      <c r="A97" t="s">
        <v>131</v>
      </c>
      <c r="B97" t="s">
        <v>8</v>
      </c>
      <c r="D97" s="6">
        <v>11000</v>
      </c>
      <c r="E97" s="6">
        <v>12000</v>
      </c>
      <c r="F97">
        <v>0</v>
      </c>
      <c r="G97" s="9">
        <v>0</v>
      </c>
      <c r="H97" t="s">
        <v>139</v>
      </c>
      <c r="J97" t="s">
        <v>160</v>
      </c>
      <c r="K97" s="8">
        <f t="shared" si="1"/>
        <v>0</v>
      </c>
    </row>
    <row r="98" spans="1:11" x14ac:dyDescent="0.3">
      <c r="A98" t="s">
        <v>68</v>
      </c>
      <c r="B98" t="s">
        <v>8</v>
      </c>
      <c r="D98" s="6">
        <v>16500</v>
      </c>
      <c r="E98" s="6">
        <v>22000</v>
      </c>
      <c r="F98">
        <v>0</v>
      </c>
      <c r="G98" s="9">
        <v>0</v>
      </c>
      <c r="H98" t="s">
        <v>139</v>
      </c>
      <c r="J98" t="s">
        <v>160</v>
      </c>
      <c r="K98" s="8">
        <f t="shared" si="1"/>
        <v>0</v>
      </c>
    </row>
    <row r="99" spans="1:11" x14ac:dyDescent="0.3">
      <c r="A99" t="s">
        <v>129</v>
      </c>
      <c r="B99" t="s">
        <v>8</v>
      </c>
      <c r="D99" s="6">
        <v>12000</v>
      </c>
      <c r="E99" s="6">
        <v>18000</v>
      </c>
      <c r="F99">
        <v>37</v>
      </c>
      <c r="G99" s="9">
        <v>0</v>
      </c>
      <c r="H99" t="s">
        <v>139</v>
      </c>
      <c r="J99" t="s">
        <v>160</v>
      </c>
      <c r="K99" s="8">
        <f t="shared" si="1"/>
        <v>444000</v>
      </c>
    </row>
    <row r="100" spans="1:11" x14ac:dyDescent="0.3">
      <c r="A100" t="s">
        <v>111</v>
      </c>
      <c r="B100" t="s">
        <v>8</v>
      </c>
      <c r="D100" s="6">
        <v>66000</v>
      </c>
      <c r="E100" s="6">
        <v>135000</v>
      </c>
      <c r="F100">
        <v>0</v>
      </c>
      <c r="G100" s="9">
        <v>0</v>
      </c>
      <c r="H100" t="s">
        <v>139</v>
      </c>
      <c r="J100" t="s">
        <v>160</v>
      </c>
      <c r="K100" s="8">
        <f t="shared" si="1"/>
        <v>0</v>
      </c>
    </row>
    <row r="101" spans="1:11" x14ac:dyDescent="0.3">
      <c r="A101" t="s">
        <v>133</v>
      </c>
      <c r="B101" t="s">
        <v>8</v>
      </c>
      <c r="D101" s="6">
        <v>10000</v>
      </c>
      <c r="E101" s="6">
        <v>12000</v>
      </c>
      <c r="F101">
        <v>0</v>
      </c>
      <c r="G101" s="9">
        <v>0</v>
      </c>
      <c r="H101" t="s">
        <v>139</v>
      </c>
      <c r="J101" t="s">
        <v>160</v>
      </c>
      <c r="K101" s="8">
        <f t="shared" si="1"/>
        <v>0</v>
      </c>
    </row>
    <row r="102" spans="1:11" x14ac:dyDescent="0.3">
      <c r="A102" t="s">
        <v>72</v>
      </c>
      <c r="B102" t="s">
        <v>8</v>
      </c>
      <c r="D102" s="6">
        <v>19000</v>
      </c>
      <c r="E102" s="6">
        <v>24000</v>
      </c>
      <c r="F102">
        <v>0</v>
      </c>
      <c r="G102" s="9">
        <v>0</v>
      </c>
      <c r="H102" t="s">
        <v>139</v>
      </c>
      <c r="J102" t="s">
        <v>160</v>
      </c>
      <c r="K102" s="8">
        <f t="shared" si="1"/>
        <v>0</v>
      </c>
    </row>
    <row r="103" spans="1:11" x14ac:dyDescent="0.3">
      <c r="A103" t="s">
        <v>71</v>
      </c>
      <c r="B103" t="s">
        <v>8</v>
      </c>
      <c r="D103" s="6">
        <v>8770</v>
      </c>
      <c r="E103" s="6">
        <v>12000</v>
      </c>
      <c r="F103">
        <v>0</v>
      </c>
      <c r="G103" s="9">
        <v>0</v>
      </c>
      <c r="H103" t="s">
        <v>139</v>
      </c>
      <c r="J103" t="s">
        <v>160</v>
      </c>
      <c r="K103" s="8">
        <f t="shared" si="1"/>
        <v>0</v>
      </c>
    </row>
    <row r="104" spans="1:11" x14ac:dyDescent="0.3">
      <c r="A104" t="s">
        <v>29</v>
      </c>
      <c r="B104" t="s">
        <v>8</v>
      </c>
      <c r="D104" s="6">
        <v>3640</v>
      </c>
      <c r="E104" s="6">
        <v>7000</v>
      </c>
      <c r="F104">
        <v>0</v>
      </c>
      <c r="G104" s="9">
        <v>0</v>
      </c>
      <c r="H104" t="s">
        <v>139</v>
      </c>
      <c r="J104" t="s">
        <v>160</v>
      </c>
      <c r="K104" s="8">
        <f t="shared" si="1"/>
        <v>0</v>
      </c>
    </row>
    <row r="105" spans="1:11" x14ac:dyDescent="0.3">
      <c r="A105" t="s">
        <v>144</v>
      </c>
      <c r="B105" t="s">
        <v>8</v>
      </c>
      <c r="D105" s="6">
        <v>32000</v>
      </c>
      <c r="E105" s="6">
        <v>35000</v>
      </c>
      <c r="F105">
        <v>0</v>
      </c>
      <c r="G105" s="9">
        <v>0</v>
      </c>
      <c r="H105" t="s">
        <v>139</v>
      </c>
      <c r="J105" t="s">
        <v>160</v>
      </c>
      <c r="K105" s="8">
        <f t="shared" si="1"/>
        <v>0</v>
      </c>
    </row>
    <row r="106" spans="1:11" x14ac:dyDescent="0.3">
      <c r="A106" t="s">
        <v>153</v>
      </c>
      <c r="B106" t="s">
        <v>8</v>
      </c>
      <c r="D106" s="6">
        <v>2600</v>
      </c>
      <c r="E106" s="6">
        <v>4000</v>
      </c>
      <c r="F106">
        <v>0</v>
      </c>
      <c r="G106" s="9">
        <v>0</v>
      </c>
      <c r="H106" t="s">
        <v>139</v>
      </c>
      <c r="J106" t="s">
        <v>160</v>
      </c>
      <c r="K106" s="8">
        <f t="shared" si="1"/>
        <v>0</v>
      </c>
    </row>
    <row r="107" spans="1:11" x14ac:dyDescent="0.3">
      <c r="A107" t="s">
        <v>67</v>
      </c>
      <c r="B107" t="s">
        <v>8</v>
      </c>
      <c r="D107">
        <v>0</v>
      </c>
      <c r="E107" s="6">
        <v>8000</v>
      </c>
      <c r="F107">
        <v>0</v>
      </c>
      <c r="G107" s="9">
        <v>0</v>
      </c>
      <c r="H107" t="s">
        <v>139</v>
      </c>
      <c r="J107" t="s">
        <v>160</v>
      </c>
      <c r="K107" s="8">
        <f t="shared" si="1"/>
        <v>0</v>
      </c>
    </row>
    <row r="108" spans="1:11" x14ac:dyDescent="0.3">
      <c r="A108" t="s">
        <v>155</v>
      </c>
      <c r="B108" t="s">
        <v>8</v>
      </c>
      <c r="D108" s="6">
        <v>24000</v>
      </c>
      <c r="E108" s="6">
        <v>50000</v>
      </c>
      <c r="F108">
        <v>0</v>
      </c>
      <c r="G108" s="9">
        <v>0</v>
      </c>
      <c r="H108" t="s">
        <v>139</v>
      </c>
      <c r="J108" t="s">
        <v>160</v>
      </c>
      <c r="K108" s="8">
        <f t="shared" si="1"/>
        <v>0</v>
      </c>
    </row>
    <row r="109" spans="1:11" x14ac:dyDescent="0.3">
      <c r="A109" t="s">
        <v>146</v>
      </c>
      <c r="B109" t="s">
        <v>8</v>
      </c>
      <c r="D109" s="6">
        <v>55000</v>
      </c>
      <c r="E109" s="6">
        <v>95000</v>
      </c>
      <c r="F109">
        <v>0</v>
      </c>
      <c r="G109" s="9">
        <v>0</v>
      </c>
      <c r="H109" t="s">
        <v>139</v>
      </c>
      <c r="J109" t="s">
        <v>160</v>
      </c>
      <c r="K109" s="8">
        <f t="shared" si="1"/>
        <v>0</v>
      </c>
    </row>
    <row r="110" spans="1:11" x14ac:dyDescent="0.3">
      <c r="A110" t="s">
        <v>137</v>
      </c>
      <c r="B110" t="s">
        <v>8</v>
      </c>
      <c r="D110" s="6">
        <v>103500</v>
      </c>
      <c r="E110" s="6">
        <v>110000</v>
      </c>
      <c r="F110">
        <v>0</v>
      </c>
      <c r="G110" s="9">
        <v>0</v>
      </c>
      <c r="H110" t="s">
        <v>139</v>
      </c>
      <c r="J110" t="s">
        <v>160</v>
      </c>
      <c r="K110" s="8">
        <f t="shared" si="1"/>
        <v>0</v>
      </c>
    </row>
    <row r="111" spans="1:11" x14ac:dyDescent="0.3">
      <c r="A111" t="s">
        <v>134</v>
      </c>
      <c r="B111" t="s">
        <v>8</v>
      </c>
      <c r="D111" s="6">
        <v>12000</v>
      </c>
      <c r="E111" s="6">
        <v>16000</v>
      </c>
      <c r="F111">
        <v>0</v>
      </c>
      <c r="G111" s="9">
        <v>0</v>
      </c>
      <c r="H111" t="s">
        <v>139</v>
      </c>
      <c r="J111" t="s">
        <v>160</v>
      </c>
      <c r="K111" s="8">
        <f t="shared" si="1"/>
        <v>0</v>
      </c>
    </row>
    <row r="112" spans="1:11" x14ac:dyDescent="0.3">
      <c r="A112" t="s">
        <v>88</v>
      </c>
      <c r="B112" t="s">
        <v>8</v>
      </c>
      <c r="D112" s="6">
        <v>60000</v>
      </c>
      <c r="E112" s="6">
        <v>27000</v>
      </c>
      <c r="F112">
        <v>0</v>
      </c>
      <c r="G112" s="9">
        <v>0</v>
      </c>
      <c r="H112" t="s">
        <v>139</v>
      </c>
      <c r="J112" t="s">
        <v>160</v>
      </c>
      <c r="K112" s="8">
        <f t="shared" si="1"/>
        <v>0</v>
      </c>
    </row>
    <row r="113" spans="1:11" x14ac:dyDescent="0.3">
      <c r="A113" t="s">
        <v>74</v>
      </c>
      <c r="B113" t="s">
        <v>8</v>
      </c>
      <c r="D113" s="6">
        <v>90000</v>
      </c>
      <c r="E113" s="6">
        <v>100000</v>
      </c>
      <c r="F113">
        <v>0</v>
      </c>
      <c r="G113" s="9">
        <v>0</v>
      </c>
      <c r="H113" t="s">
        <v>139</v>
      </c>
      <c r="J113" t="s">
        <v>160</v>
      </c>
      <c r="K113" s="8">
        <f t="shared" si="1"/>
        <v>0</v>
      </c>
    </row>
    <row r="114" spans="1:11" x14ac:dyDescent="0.3">
      <c r="A114" t="s">
        <v>156</v>
      </c>
      <c r="B114" t="s">
        <v>8</v>
      </c>
      <c r="D114" s="6">
        <v>15000</v>
      </c>
      <c r="E114" s="6">
        <v>12000</v>
      </c>
      <c r="F114">
        <v>0</v>
      </c>
      <c r="G114" s="9">
        <v>0</v>
      </c>
      <c r="H114" t="s">
        <v>139</v>
      </c>
      <c r="J114" t="s">
        <v>160</v>
      </c>
      <c r="K114" s="8">
        <f t="shared" si="1"/>
        <v>0</v>
      </c>
    </row>
    <row r="115" spans="1:11" x14ac:dyDescent="0.3">
      <c r="A115" t="s">
        <v>79</v>
      </c>
      <c r="B115" t="s">
        <v>8</v>
      </c>
      <c r="D115" s="6">
        <v>22000</v>
      </c>
      <c r="E115" s="6">
        <v>45000</v>
      </c>
      <c r="F115">
        <v>0</v>
      </c>
      <c r="G115" s="9">
        <v>0</v>
      </c>
      <c r="H115" t="s">
        <v>139</v>
      </c>
      <c r="J115" t="s">
        <v>160</v>
      </c>
      <c r="K115" s="8">
        <f t="shared" si="1"/>
        <v>0</v>
      </c>
    </row>
    <row r="116" spans="1:11" x14ac:dyDescent="0.3">
      <c r="A116" t="s">
        <v>25</v>
      </c>
      <c r="B116" t="s">
        <v>8</v>
      </c>
      <c r="D116" s="6">
        <v>105000</v>
      </c>
      <c r="E116" s="6">
        <v>112000</v>
      </c>
      <c r="F116">
        <v>0</v>
      </c>
      <c r="G116" s="9">
        <v>0</v>
      </c>
      <c r="H116" t="s">
        <v>139</v>
      </c>
      <c r="J116" t="s">
        <v>160</v>
      </c>
      <c r="K116" s="8">
        <f t="shared" si="1"/>
        <v>0</v>
      </c>
    </row>
    <row r="117" spans="1:11" x14ac:dyDescent="0.3">
      <c r="A117" t="s">
        <v>103</v>
      </c>
      <c r="B117" t="s">
        <v>8</v>
      </c>
      <c r="D117" s="6">
        <v>31000</v>
      </c>
      <c r="E117" s="6">
        <v>53000</v>
      </c>
      <c r="F117">
        <v>0</v>
      </c>
      <c r="G117" s="9">
        <v>0</v>
      </c>
      <c r="H117" t="s">
        <v>139</v>
      </c>
      <c r="J117" t="s">
        <v>160</v>
      </c>
      <c r="K117" s="8">
        <f t="shared" si="1"/>
        <v>0</v>
      </c>
    </row>
    <row r="118" spans="1:11" x14ac:dyDescent="0.3">
      <c r="A118" t="s">
        <v>87</v>
      </c>
      <c r="B118" t="s">
        <v>8</v>
      </c>
      <c r="D118" s="6">
        <v>60000</v>
      </c>
      <c r="E118" s="6">
        <v>65000</v>
      </c>
      <c r="F118">
        <v>0</v>
      </c>
      <c r="G118" s="9">
        <v>0</v>
      </c>
      <c r="H118" t="s">
        <v>139</v>
      </c>
      <c r="J118" t="s">
        <v>160</v>
      </c>
      <c r="K118" s="8">
        <f t="shared" si="1"/>
        <v>0</v>
      </c>
    </row>
    <row r="119" spans="1:11" x14ac:dyDescent="0.3">
      <c r="A119" t="s">
        <v>154</v>
      </c>
      <c r="B119" t="s">
        <v>8</v>
      </c>
      <c r="D119" s="6">
        <v>19000</v>
      </c>
      <c r="E119" s="6">
        <v>25000</v>
      </c>
      <c r="F119">
        <v>0</v>
      </c>
      <c r="G119" s="9">
        <v>0</v>
      </c>
      <c r="H119" t="s">
        <v>139</v>
      </c>
      <c r="J119" t="s">
        <v>160</v>
      </c>
      <c r="K119" s="8">
        <f t="shared" si="1"/>
        <v>0</v>
      </c>
    </row>
    <row r="120" spans="1:11" x14ac:dyDescent="0.3">
      <c r="A120" t="s">
        <v>63</v>
      </c>
      <c r="B120" t="s">
        <v>8</v>
      </c>
      <c r="D120" s="6">
        <v>56000</v>
      </c>
      <c r="E120" s="6">
        <v>56000</v>
      </c>
      <c r="F120">
        <v>0</v>
      </c>
      <c r="G120" s="9">
        <v>0</v>
      </c>
      <c r="H120" t="s">
        <v>139</v>
      </c>
      <c r="J120" t="s">
        <v>160</v>
      </c>
      <c r="K120" s="8">
        <f t="shared" si="1"/>
        <v>0</v>
      </c>
    </row>
    <row r="121" spans="1:11" x14ac:dyDescent="0.3">
      <c r="A121" t="s">
        <v>65</v>
      </c>
      <c r="B121" t="s">
        <v>8</v>
      </c>
      <c r="D121" s="6">
        <v>13000</v>
      </c>
      <c r="E121" s="6">
        <v>16000</v>
      </c>
      <c r="F121">
        <v>0</v>
      </c>
      <c r="G121" s="9">
        <v>0</v>
      </c>
      <c r="H121" t="s">
        <v>139</v>
      </c>
      <c r="J121" t="s">
        <v>160</v>
      </c>
      <c r="K121" s="8">
        <f t="shared" si="1"/>
        <v>0</v>
      </c>
    </row>
    <row r="122" spans="1:11" x14ac:dyDescent="0.3">
      <c r="A122" t="s">
        <v>61</v>
      </c>
      <c r="B122" t="s">
        <v>8</v>
      </c>
      <c r="D122" s="6">
        <v>55000</v>
      </c>
      <c r="E122" s="6">
        <v>65000</v>
      </c>
      <c r="F122">
        <v>0</v>
      </c>
      <c r="G122" s="9">
        <v>0</v>
      </c>
      <c r="H122" t="s">
        <v>139</v>
      </c>
      <c r="J122" t="s">
        <v>160</v>
      </c>
      <c r="K122" s="8">
        <f t="shared" si="1"/>
        <v>0</v>
      </c>
    </row>
    <row r="123" spans="1:11" x14ac:dyDescent="0.3">
      <c r="A123" t="s">
        <v>62</v>
      </c>
      <c r="B123" t="s">
        <v>8</v>
      </c>
      <c r="D123" s="6">
        <v>10200</v>
      </c>
      <c r="E123" s="6">
        <v>14000</v>
      </c>
      <c r="F123">
        <v>0</v>
      </c>
      <c r="G123" s="9">
        <v>0</v>
      </c>
      <c r="H123" t="s">
        <v>139</v>
      </c>
      <c r="J123" t="s">
        <v>160</v>
      </c>
      <c r="K123" s="8">
        <f t="shared" si="1"/>
        <v>0</v>
      </c>
    </row>
    <row r="124" spans="1:11" x14ac:dyDescent="0.3">
      <c r="A124" t="s">
        <v>64</v>
      </c>
      <c r="B124" t="s">
        <v>8</v>
      </c>
      <c r="D124" s="6">
        <v>11600</v>
      </c>
      <c r="E124" s="6">
        <v>14000</v>
      </c>
      <c r="F124">
        <v>0</v>
      </c>
      <c r="G124" s="9">
        <v>0</v>
      </c>
      <c r="H124" t="s">
        <v>139</v>
      </c>
      <c r="J124" t="s">
        <v>160</v>
      </c>
      <c r="K124" s="8">
        <f t="shared" si="1"/>
        <v>0</v>
      </c>
    </row>
    <row r="125" spans="1:11" x14ac:dyDescent="0.3">
      <c r="A125" t="s">
        <v>66</v>
      </c>
      <c r="B125" t="s">
        <v>8</v>
      </c>
      <c r="D125" s="6">
        <v>12000</v>
      </c>
      <c r="E125" s="6">
        <v>15000</v>
      </c>
      <c r="F125">
        <v>0</v>
      </c>
      <c r="G125" s="9">
        <v>0</v>
      </c>
      <c r="H125" t="s">
        <v>139</v>
      </c>
      <c r="J125" t="s">
        <v>160</v>
      </c>
      <c r="K125" s="8">
        <f t="shared" si="1"/>
        <v>0</v>
      </c>
    </row>
    <row r="126" spans="1:11" x14ac:dyDescent="0.3">
      <c r="A126" t="s">
        <v>23</v>
      </c>
      <c r="B126" t="s">
        <v>8</v>
      </c>
      <c r="D126" s="6">
        <v>56500</v>
      </c>
      <c r="E126" s="6">
        <v>52000</v>
      </c>
      <c r="F126">
        <v>0</v>
      </c>
      <c r="G126" s="9">
        <v>0</v>
      </c>
      <c r="H126" t="s">
        <v>139</v>
      </c>
      <c r="J126" t="s">
        <v>160</v>
      </c>
      <c r="K126" s="8">
        <f t="shared" si="1"/>
        <v>0</v>
      </c>
    </row>
    <row r="127" spans="1:11" x14ac:dyDescent="0.3">
      <c r="A127" t="s">
        <v>26</v>
      </c>
      <c r="B127" t="s">
        <v>8</v>
      </c>
      <c r="D127" s="6">
        <v>31000</v>
      </c>
      <c r="E127" s="6">
        <v>60000</v>
      </c>
      <c r="F127">
        <v>0</v>
      </c>
      <c r="G127" s="9">
        <v>0</v>
      </c>
      <c r="H127" t="s">
        <v>139</v>
      </c>
      <c r="J127" t="s">
        <v>160</v>
      </c>
      <c r="K127" s="8">
        <f t="shared" si="1"/>
        <v>0</v>
      </c>
    </row>
    <row r="128" spans="1:11" x14ac:dyDescent="0.3">
      <c r="A128" t="s">
        <v>81</v>
      </c>
      <c r="B128" t="s">
        <v>8</v>
      </c>
      <c r="D128" s="6">
        <v>66000</v>
      </c>
      <c r="E128" s="6">
        <v>110000</v>
      </c>
      <c r="F128">
        <v>0</v>
      </c>
      <c r="G128" s="9">
        <v>0</v>
      </c>
      <c r="H128" t="s">
        <v>139</v>
      </c>
      <c r="J128" t="s">
        <v>160</v>
      </c>
      <c r="K128" s="8">
        <f t="shared" si="1"/>
        <v>0</v>
      </c>
    </row>
    <row r="129" spans="1:11" x14ac:dyDescent="0.3">
      <c r="A129" t="s">
        <v>20</v>
      </c>
      <c r="B129" t="s">
        <v>8</v>
      </c>
      <c r="D129" s="6">
        <v>64000</v>
      </c>
      <c r="E129" s="6">
        <v>53000</v>
      </c>
      <c r="F129">
        <v>0</v>
      </c>
      <c r="G129" s="9">
        <v>0</v>
      </c>
      <c r="H129" t="s">
        <v>139</v>
      </c>
      <c r="J129" t="s">
        <v>160</v>
      </c>
      <c r="K129" s="8">
        <f t="shared" si="1"/>
        <v>0</v>
      </c>
    </row>
    <row r="130" spans="1:11" x14ac:dyDescent="0.3">
      <c r="A130" t="s">
        <v>142</v>
      </c>
      <c r="B130" t="s">
        <v>8</v>
      </c>
      <c r="D130" s="6">
        <v>25000</v>
      </c>
      <c r="E130" s="6">
        <v>50000</v>
      </c>
      <c r="F130">
        <v>81</v>
      </c>
      <c r="G130" s="9">
        <v>0</v>
      </c>
      <c r="H130" t="s">
        <v>139</v>
      </c>
      <c r="J130" t="s">
        <v>160</v>
      </c>
      <c r="K130" s="8">
        <f t="shared" si="1"/>
        <v>2025000</v>
      </c>
    </row>
    <row r="131" spans="1:11" x14ac:dyDescent="0.3">
      <c r="A131" t="s">
        <v>157</v>
      </c>
      <c r="B131" t="s">
        <v>8</v>
      </c>
      <c r="D131" s="6">
        <v>3000</v>
      </c>
      <c r="E131" s="6">
        <v>8000</v>
      </c>
      <c r="F131" s="6">
        <v>3179</v>
      </c>
      <c r="G131" s="9">
        <v>0</v>
      </c>
      <c r="H131" t="s">
        <v>139</v>
      </c>
      <c r="J131" t="s">
        <v>160</v>
      </c>
      <c r="K131" s="8">
        <f t="shared" ref="K131:K154" si="2">D131*F131</f>
        <v>9537000</v>
      </c>
    </row>
    <row r="132" spans="1:11" x14ac:dyDescent="0.3">
      <c r="A132" t="s">
        <v>100</v>
      </c>
      <c r="B132" t="s">
        <v>8</v>
      </c>
      <c r="D132" s="6">
        <v>31000</v>
      </c>
      <c r="E132" s="6">
        <v>45000</v>
      </c>
      <c r="F132">
        <v>0</v>
      </c>
      <c r="G132" s="9">
        <v>0</v>
      </c>
      <c r="H132" t="s">
        <v>139</v>
      </c>
      <c r="J132" t="s">
        <v>160</v>
      </c>
      <c r="K132" s="8">
        <f t="shared" si="2"/>
        <v>0</v>
      </c>
    </row>
    <row r="133" spans="1:11" x14ac:dyDescent="0.3">
      <c r="A133" t="s">
        <v>135</v>
      </c>
      <c r="B133" t="s">
        <v>8</v>
      </c>
      <c r="D133" s="6">
        <v>15000</v>
      </c>
      <c r="E133" s="6">
        <v>30000</v>
      </c>
      <c r="F133">
        <v>0</v>
      </c>
      <c r="G133" s="9">
        <v>0</v>
      </c>
      <c r="H133" t="s">
        <v>139</v>
      </c>
      <c r="J133" t="s">
        <v>160</v>
      </c>
      <c r="K133" s="8">
        <f t="shared" si="2"/>
        <v>0</v>
      </c>
    </row>
    <row r="134" spans="1:11" x14ac:dyDescent="0.3">
      <c r="A134" t="s">
        <v>69</v>
      </c>
      <c r="B134" t="s">
        <v>8</v>
      </c>
      <c r="D134" s="6">
        <v>25000</v>
      </c>
      <c r="E134" s="6">
        <v>30000</v>
      </c>
      <c r="F134">
        <v>0</v>
      </c>
      <c r="G134" s="9">
        <v>0</v>
      </c>
      <c r="H134" t="s">
        <v>139</v>
      </c>
      <c r="J134" t="s">
        <v>160</v>
      </c>
      <c r="K134" s="8">
        <f t="shared" si="2"/>
        <v>0</v>
      </c>
    </row>
    <row r="135" spans="1:11" x14ac:dyDescent="0.3">
      <c r="A135" t="s">
        <v>115</v>
      </c>
      <c r="B135" t="s">
        <v>8</v>
      </c>
      <c r="D135" s="6">
        <v>9000</v>
      </c>
      <c r="E135" s="6">
        <v>12000</v>
      </c>
      <c r="F135">
        <v>0</v>
      </c>
      <c r="G135" s="9">
        <v>0</v>
      </c>
      <c r="H135" t="s">
        <v>139</v>
      </c>
      <c r="J135" t="s">
        <v>160</v>
      </c>
      <c r="K135" s="8">
        <f t="shared" si="2"/>
        <v>0</v>
      </c>
    </row>
    <row r="136" spans="1:11" x14ac:dyDescent="0.3">
      <c r="A136" t="s">
        <v>114</v>
      </c>
      <c r="B136" t="s">
        <v>8</v>
      </c>
      <c r="D136" s="6">
        <v>11500</v>
      </c>
      <c r="E136" s="6">
        <v>14000</v>
      </c>
      <c r="F136">
        <v>0</v>
      </c>
      <c r="G136" s="9">
        <v>0</v>
      </c>
      <c r="H136" t="s">
        <v>139</v>
      </c>
      <c r="J136" t="s">
        <v>160</v>
      </c>
      <c r="K136" s="8">
        <f t="shared" si="2"/>
        <v>0</v>
      </c>
    </row>
    <row r="137" spans="1:11" x14ac:dyDescent="0.3">
      <c r="A137" t="s">
        <v>113</v>
      </c>
      <c r="B137" t="s">
        <v>8</v>
      </c>
      <c r="D137" s="6">
        <v>9000</v>
      </c>
      <c r="E137" s="6">
        <v>12000</v>
      </c>
      <c r="F137">
        <v>0</v>
      </c>
      <c r="G137" s="9">
        <v>0</v>
      </c>
      <c r="H137" t="s">
        <v>139</v>
      </c>
      <c r="J137" t="s">
        <v>160</v>
      </c>
      <c r="K137" s="8">
        <f t="shared" si="2"/>
        <v>0</v>
      </c>
    </row>
    <row r="138" spans="1:11" x14ac:dyDescent="0.3">
      <c r="A138" t="s">
        <v>102</v>
      </c>
      <c r="B138" t="s">
        <v>8</v>
      </c>
      <c r="D138" s="6">
        <v>99000</v>
      </c>
      <c r="E138" s="6">
        <v>57000</v>
      </c>
      <c r="F138">
        <v>0</v>
      </c>
      <c r="G138" s="9">
        <v>0</v>
      </c>
      <c r="H138" t="s">
        <v>139</v>
      </c>
      <c r="J138" t="s">
        <v>160</v>
      </c>
      <c r="K138" s="8">
        <f t="shared" si="2"/>
        <v>0</v>
      </c>
    </row>
    <row r="139" spans="1:11" x14ac:dyDescent="0.3">
      <c r="A139" t="s">
        <v>104</v>
      </c>
      <c r="B139" t="s">
        <v>8</v>
      </c>
      <c r="D139" s="6">
        <v>6000</v>
      </c>
      <c r="E139" s="6">
        <v>9000</v>
      </c>
      <c r="F139">
        <v>0</v>
      </c>
      <c r="G139" s="9">
        <v>0</v>
      </c>
      <c r="H139" t="s">
        <v>139</v>
      </c>
      <c r="J139" t="s">
        <v>160</v>
      </c>
      <c r="K139" s="8">
        <f t="shared" si="2"/>
        <v>0</v>
      </c>
    </row>
    <row r="140" spans="1:11" x14ac:dyDescent="0.3">
      <c r="A140" t="s">
        <v>152</v>
      </c>
      <c r="B140" t="s">
        <v>8</v>
      </c>
      <c r="D140" s="6">
        <v>20000</v>
      </c>
      <c r="E140" s="6">
        <v>25000</v>
      </c>
      <c r="F140">
        <v>0</v>
      </c>
      <c r="G140" s="9">
        <v>0</v>
      </c>
      <c r="H140" t="s">
        <v>139</v>
      </c>
      <c r="J140" t="s">
        <v>160</v>
      </c>
      <c r="K140" s="8">
        <f t="shared" si="2"/>
        <v>0</v>
      </c>
    </row>
    <row r="141" spans="1:11" x14ac:dyDescent="0.3">
      <c r="A141" t="s">
        <v>164</v>
      </c>
      <c r="B141" t="s">
        <v>8</v>
      </c>
      <c r="D141" s="6">
        <v>5500</v>
      </c>
      <c r="E141" s="6">
        <v>7000</v>
      </c>
      <c r="F141">
        <v>0</v>
      </c>
      <c r="G141" s="9">
        <v>0</v>
      </c>
      <c r="H141" t="s">
        <v>139</v>
      </c>
      <c r="J141" t="s">
        <v>160</v>
      </c>
      <c r="K141" s="8">
        <f t="shared" si="2"/>
        <v>0</v>
      </c>
    </row>
    <row r="142" spans="1:11" x14ac:dyDescent="0.3">
      <c r="A142" t="s">
        <v>85</v>
      </c>
      <c r="B142" t="s">
        <v>8</v>
      </c>
      <c r="D142" s="6">
        <v>8000</v>
      </c>
      <c r="E142" s="6">
        <v>10000</v>
      </c>
      <c r="F142">
        <v>0</v>
      </c>
      <c r="G142" s="9">
        <v>0</v>
      </c>
      <c r="H142" t="s">
        <v>139</v>
      </c>
      <c r="J142" t="s">
        <v>160</v>
      </c>
      <c r="K142" s="8">
        <f t="shared" si="2"/>
        <v>0</v>
      </c>
    </row>
    <row r="143" spans="1:11" x14ac:dyDescent="0.3">
      <c r="A143" t="s">
        <v>145</v>
      </c>
      <c r="B143" t="s">
        <v>8</v>
      </c>
      <c r="D143" s="6">
        <v>5500</v>
      </c>
      <c r="E143" s="6">
        <v>7000</v>
      </c>
      <c r="F143">
        <v>0</v>
      </c>
      <c r="G143" s="9">
        <v>0</v>
      </c>
      <c r="H143" t="s">
        <v>139</v>
      </c>
      <c r="J143" t="s">
        <v>160</v>
      </c>
      <c r="K143" s="8">
        <f t="shared" si="2"/>
        <v>0</v>
      </c>
    </row>
    <row r="144" spans="1:11" x14ac:dyDescent="0.3">
      <c r="A144" t="s">
        <v>147</v>
      </c>
      <c r="B144" t="s">
        <v>8</v>
      </c>
      <c r="D144" s="6">
        <v>30000</v>
      </c>
      <c r="E144" s="6">
        <v>40000</v>
      </c>
      <c r="F144">
        <v>0</v>
      </c>
      <c r="G144" s="9">
        <v>0</v>
      </c>
      <c r="H144" t="s">
        <v>139</v>
      </c>
      <c r="J144" t="s">
        <v>160</v>
      </c>
      <c r="K144" s="8">
        <f t="shared" si="2"/>
        <v>0</v>
      </c>
    </row>
    <row r="145" spans="1:11" x14ac:dyDescent="0.3">
      <c r="A145" t="s">
        <v>148</v>
      </c>
      <c r="B145" t="s">
        <v>8</v>
      </c>
      <c r="D145" s="6">
        <v>24500</v>
      </c>
      <c r="E145" s="6">
        <v>29000</v>
      </c>
      <c r="F145">
        <v>0</v>
      </c>
      <c r="G145" s="9">
        <v>0</v>
      </c>
      <c r="H145" t="s">
        <v>139</v>
      </c>
      <c r="J145" t="s">
        <v>160</v>
      </c>
      <c r="K145" s="8">
        <f t="shared" si="2"/>
        <v>0</v>
      </c>
    </row>
    <row r="146" spans="1:11" x14ac:dyDescent="0.3">
      <c r="A146" t="s">
        <v>132</v>
      </c>
      <c r="B146" t="s">
        <v>8</v>
      </c>
      <c r="D146" s="6">
        <v>66000</v>
      </c>
      <c r="E146" s="6">
        <v>59000</v>
      </c>
      <c r="F146">
        <v>0</v>
      </c>
      <c r="G146" s="9">
        <v>0</v>
      </c>
      <c r="H146" t="s">
        <v>139</v>
      </c>
      <c r="J146" t="s">
        <v>160</v>
      </c>
      <c r="K146" s="8">
        <f t="shared" si="2"/>
        <v>0</v>
      </c>
    </row>
    <row r="147" spans="1:11" x14ac:dyDescent="0.3">
      <c r="A147" t="s">
        <v>165</v>
      </c>
      <c r="B147" t="s">
        <v>8</v>
      </c>
      <c r="D147" s="6">
        <v>32500</v>
      </c>
      <c r="E147" s="6">
        <v>37000</v>
      </c>
      <c r="F147">
        <v>0</v>
      </c>
      <c r="G147" s="9">
        <v>0</v>
      </c>
      <c r="H147" t="s">
        <v>139</v>
      </c>
      <c r="J147" t="s">
        <v>160</v>
      </c>
      <c r="K147" s="8">
        <f t="shared" si="2"/>
        <v>0</v>
      </c>
    </row>
    <row r="148" spans="1:11" x14ac:dyDescent="0.3">
      <c r="A148" t="s">
        <v>149</v>
      </c>
      <c r="B148" t="s">
        <v>8</v>
      </c>
      <c r="D148" s="6">
        <v>24500</v>
      </c>
      <c r="E148" s="6">
        <v>27000</v>
      </c>
      <c r="F148">
        <v>0</v>
      </c>
      <c r="G148" s="9">
        <v>0</v>
      </c>
      <c r="H148" t="s">
        <v>139</v>
      </c>
      <c r="J148" t="s">
        <v>160</v>
      </c>
      <c r="K148" s="8">
        <f t="shared" si="2"/>
        <v>0</v>
      </c>
    </row>
    <row r="149" spans="1:11" x14ac:dyDescent="0.3">
      <c r="A149" t="s">
        <v>12</v>
      </c>
      <c r="B149" t="s">
        <v>8</v>
      </c>
      <c r="D149" s="6">
        <v>89500</v>
      </c>
      <c r="E149" s="6">
        <v>95000</v>
      </c>
      <c r="F149">
        <v>0</v>
      </c>
      <c r="G149" s="9">
        <v>0</v>
      </c>
      <c r="H149" t="s">
        <v>139</v>
      </c>
      <c r="J149" t="s">
        <v>160</v>
      </c>
      <c r="K149" s="8">
        <f t="shared" si="2"/>
        <v>0</v>
      </c>
    </row>
    <row r="150" spans="1:11" x14ac:dyDescent="0.3">
      <c r="A150" t="s">
        <v>150</v>
      </c>
      <c r="B150" t="s">
        <v>8</v>
      </c>
      <c r="D150" s="6">
        <v>60000</v>
      </c>
      <c r="E150" s="6">
        <v>64000</v>
      </c>
      <c r="F150">
        <v>0</v>
      </c>
      <c r="G150" s="9">
        <v>0</v>
      </c>
      <c r="H150" t="s">
        <v>139</v>
      </c>
      <c r="J150" t="s">
        <v>160</v>
      </c>
      <c r="K150" s="8">
        <f t="shared" si="2"/>
        <v>0</v>
      </c>
    </row>
    <row r="151" spans="1:11" x14ac:dyDescent="0.3">
      <c r="A151" t="s">
        <v>89</v>
      </c>
      <c r="B151" t="s">
        <v>8</v>
      </c>
      <c r="D151" s="6">
        <v>27000</v>
      </c>
      <c r="E151" s="6">
        <v>22000</v>
      </c>
      <c r="F151">
        <v>0</v>
      </c>
      <c r="G151" s="9">
        <v>0</v>
      </c>
      <c r="H151" t="s">
        <v>139</v>
      </c>
      <c r="J151" t="s">
        <v>160</v>
      </c>
      <c r="K151" s="8">
        <f t="shared" si="2"/>
        <v>0</v>
      </c>
    </row>
    <row r="152" spans="1:11" x14ac:dyDescent="0.3">
      <c r="A152" t="s">
        <v>151</v>
      </c>
      <c r="B152" t="s">
        <v>8</v>
      </c>
      <c r="D152" s="6">
        <v>37000</v>
      </c>
      <c r="E152" s="6">
        <v>40000</v>
      </c>
      <c r="F152">
        <v>0</v>
      </c>
      <c r="G152" s="9">
        <v>0</v>
      </c>
      <c r="H152" t="s">
        <v>139</v>
      </c>
      <c r="J152" t="s">
        <v>160</v>
      </c>
      <c r="K152" s="8">
        <f t="shared" si="2"/>
        <v>0</v>
      </c>
    </row>
    <row r="153" spans="1:11" x14ac:dyDescent="0.3">
      <c r="A153" t="s">
        <v>143</v>
      </c>
      <c r="B153" t="s">
        <v>8</v>
      </c>
      <c r="D153" s="6">
        <v>48500</v>
      </c>
      <c r="E153" s="6">
        <v>51500</v>
      </c>
      <c r="F153">
        <v>0</v>
      </c>
      <c r="G153" s="9">
        <v>0</v>
      </c>
      <c r="H153" t="s">
        <v>139</v>
      </c>
      <c r="J153" t="s">
        <v>160</v>
      </c>
      <c r="K153" s="8">
        <f t="shared" si="2"/>
        <v>0</v>
      </c>
    </row>
    <row r="154" spans="1:11" x14ac:dyDescent="0.3">
      <c r="A154" t="s">
        <v>166</v>
      </c>
      <c r="B154" t="s">
        <v>8</v>
      </c>
      <c r="D154" s="6">
        <v>14500</v>
      </c>
      <c r="E154" s="6">
        <v>18000</v>
      </c>
      <c r="F154">
        <v>0</v>
      </c>
      <c r="G154" s="9">
        <v>0</v>
      </c>
      <c r="H154" t="s">
        <v>139</v>
      </c>
      <c r="J154" t="s">
        <v>160</v>
      </c>
      <c r="K154" s="8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2023-05-02T11:09:10Z</dcterms:modified>
</cp:coreProperties>
</file>