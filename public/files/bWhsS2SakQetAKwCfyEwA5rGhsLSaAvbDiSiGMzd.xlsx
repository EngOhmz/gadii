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<sst xmlns="http://schemas.openxmlformats.org/spreadsheetml/2006/main" count="349" uniqueCount="113">
  <si>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</si>
  <si>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</si>
  <si>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</si>
  <si>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</si>
  <si>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</si>
  <si>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</si>
  <si>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</si>
  <si>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</si>
  <si>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</si>
  <si>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</si>
  <si>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</si>
  <si>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</si>
  <si>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</si>
  <si>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</si>
  <si>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</si>
  <si>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</si>
  <si>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</si>
  <si>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</si>
  <si>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 BRANCH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</si>
  <si>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</si>
  <si>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</si>
  <si>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</si>
  <si>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</si>
  <si>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</si>
  <si>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</si>
  <si>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</si>
  <si>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</si>
  <si>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</si>
  <si>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</si>
  <si>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</si>
  <si>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 xml:space="preserve">                         3G8355</t>
  </si>
  <si>
    <t xml:space="preserve">                         3G8356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</si>
  <si>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</si>
  <si>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</si>
  <si>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</si>
  <si>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</si>
  <si>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</si>
  <si>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</si>
  <si>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</si>
  <si>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</si>
  <si>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</si>
  <si>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</si>
  <si>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</si>
  <si>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</si>
  <si>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</si>
  <si>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</si>
  <si>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</si>
  <si>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</si>
  <si>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</si>
  <si>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</si>
  <si>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</si>
  <si>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</si>
  <si>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</si>
  <si>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</si>
  <si>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</si>
  <si>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</si>
  <si>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</si>
  <si>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</si>
  <si>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</si>
  <si>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</si>
  <si>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</si>
  <si>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</si>
  <si>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</si>
  <si>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</si>
  <si>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</si>
  <si>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</si>
  <si>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</si>
  <si>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</si>
  <si>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</si>
  <si>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</si>
  <si>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</si>
  <si>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</si>
  <si>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</si>
  <si>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</si>
  <si>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</si>
  <si>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</si>
  <si>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</si>
  <si>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</si>
  <si>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</si>
  <si>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</si>
  <si>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</si>
  <si>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</si>
  <si>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</si>
  <si>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</si>
  <si>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</si>
  <si>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</si>
  <si>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</si>
  <si>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</si>
  <si>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</si>
  <si>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</si>
  <si>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</si>
  <si>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</si>
  <si>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</si>
  <si>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</si>
  <si>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</si>
  <si>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</si>
  <si>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</si>
  <si>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</si>
  <si>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</si>
  <si>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</si>
  <si>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</si>
  <si>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</si>
  <si>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</si>
  <si>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</si>
  <si>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</si>
  <si>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</si>
  <si>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</si>
  <si>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2//2024</t>
  </si>
  <si>
    <t>12PK1850</t>
  </si>
  <si>
    <t>BELT</t>
  </si>
  <si>
    <t>6PK1105</t>
  </si>
  <si>
    <t>FAN BELT</t>
  </si>
  <si>
    <t>TENSION BELT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</si>
</sst>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/>
    <xf numFmtId="178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49" applyNumberFormat="1" applyFont="1" applyAlignment="1">
      <alignment horizontal="center"/>
    </xf>
    <xf numFmtId="0" fontId="0" fillId="0" borderId="0" xfId="49" applyAlignment="1"/>
    <xf numFmtId="0" fontId="0" fillId="0" borderId="0" xfId="49" applyFont="1" applyAlignment="1"/>
    <xf numFmtId="4" fontId="0" fillId="0" borderId="0" xfId="49" applyNumberFormat="1" applyAlignment="1">
      <alignment horizontal="center"/>
    </xf>
    <xf numFmtId="3" fontId="0" fillId="0" borderId="0" xfId="49" applyNumberFormat="1" applyAlignment="1">
      <alignment horizontal="center"/>
    </xf>
    <xf numFmtId="9" fontId="0" fillId="0" borderId="0" xfId="49" applyNumberFormat="1" applyAlignment="1">
      <alignment horizontal="center"/>
    </xf>
    <xf numFmtId="49" fontId="0" fillId="0" borderId="0" xfId="49" applyNumberFormat="1" applyAlignment="1">
      <alignment horizontal="center"/>
    </xf>
    <xf numFmtId="0" fontId="0" fillId="0" borderId="0" xfId="49" applyFont="1" applyFill="1" applyAlignment="1"/>
    <xf numFmtId="4" fontId="0" fillId="0" borderId="0" xfId="0" applyNumberFormat="1"/>
    <xf numFmtId="3" fontId="0" fillId="0" borderId="0" xfId="49" applyNumberFormat="1" applyFill="1" applyAlignment="1">
      <alignment horizontal="center"/>
    </xf>
    <xf numFmtId="11" fontId="0" fillId="0" borderId="0" xfId="0" applyNumberFormat="1"/>
    <xf numFmtId="176" fontId="0" fillId="0" borderId="0" xfId="1" applyAlignment="1"/>
    <xf numFmtId="179" fontId="0" fillId="0" borderId="0" xfId="0" applyNumberFormat="1" applyAlignment="1">
      <alignment horizontal="center"/>
    </xf>
    <xf numFmtId="178" fontId="0" fillId="0" borderId="0" xfId="0" applyNumberFormat="1" applyFont="1" applyAlignment="1">
      <alignment horizontal="center"/>
    </xf>
    <xf numFmtId="49" fontId="0" fillId="0" borderId="0" xfId="49" applyNumberFormat="1" applyFont="1" applyAlignment="1">
      <alignment horizontal="center"/>
    </xf>
    <xf numFmtId="0" fontId="0" fillId="0" borderId="0" xfId="49"/>
    <xf numFmtId="58" fontId="0" fillId="0" borderId="0" xfId="0" applyNumberFormat="1" applyFont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tabSelected="1" topLeftCell="C42" workbookViewId="0">
      <selection activeCell="J61" sqref="J61"/>
    </sheetView>
  </sheetViews>
  <sheetFormatPr defaultColWidth="9" defaultRowHeight="15"/>
  <cols>
    <col min="1" max="1" width="28.2857142857143" customWidth="1"/>
    <col min="2" max="2" width="22.8571428571429" customWidth="1"/>
    <col min="3" max="3" width="34.7142857142857" customWidth="1"/>
    <col min="4" max="4" width="24.4285714285714" customWidth="1"/>
    <col min="5" max="5" width="20.1428571428571" customWidth="1"/>
    <col min="6" max="6" width="14.8571428571429" customWidth="1"/>
    <col min="9" max="9" width="31.5714285714286" customWidth="1"/>
    <col min="11" max="11" width="13.2857142857143" customWidth="1"/>
    <col min="12" max="12" width="13.7142857142857"/>
    <col min="13" max="13" width="12.4285714285714" style="1" customWidth="1"/>
  </cols>
  <sheetData>
    <row r="1" spans="1:1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20" t="s">
        <v>9</v>
      </c>
      <c r="K1" s="7" t="s">
        <v>10</v>
      </c>
      <c r="L1" s="4" t="s">
        <v>11</v>
      </c>
      <c r="M1" s="21" t="s">
        <v>12</v>
      </c>
    </row>
    <row r="2" spans="1:13">
      <c r="A2" s="8" t="s">
        <v>13</v>
      </c>
      <c r="B2" s="9" t="s">
        <v>14</v>
      </c>
      <c r="C2" s="10" t="s">
        <v>15</v>
      </c>
      <c r="D2" s="8">
        <f>0.9*E2</f>
        <v>45000</v>
      </c>
      <c r="E2" s="11">
        <v>50000</v>
      </c>
      <c r="F2" s="12">
        <v>22</v>
      </c>
      <c r="G2" s="13">
        <v>0.18</v>
      </c>
      <c r="H2" s="14" t="s">
        <v>16</v>
      </c>
      <c r="I2" s="22" t="s">
        <v>17</v>
      </c>
      <c r="J2" s="23"/>
      <c r="K2" s="22" t="s">
        <v>18</v>
      </c>
      <c r="L2" s="11">
        <f>D2*F2</f>
        <v>990000</v>
      </c>
      <c r="M2" s="24">
        <v>44956</v>
      </c>
    </row>
    <row r="3" spans="1:13">
      <c r="A3" s="8" t="s">
        <v>13</v>
      </c>
      <c r="B3" s="9" t="s">
        <v>14</v>
      </c>
      <c r="C3" s="10" t="s">
        <v>15</v>
      </c>
      <c r="D3" s="8">
        <f t="shared" ref="D3:D34" si="0">0.9*E3</f>
        <v>45000</v>
      </c>
      <c r="E3" s="11">
        <v>50000</v>
      </c>
      <c r="F3" s="12">
        <v>30</v>
      </c>
      <c r="G3" s="13">
        <v>0.18</v>
      </c>
      <c r="H3" s="14" t="s">
        <v>16</v>
      </c>
      <c r="I3" s="22" t="s">
        <v>17</v>
      </c>
      <c r="J3" s="23"/>
      <c r="K3" s="22" t="s">
        <v>18</v>
      </c>
      <c r="L3" s="11">
        <f t="shared" ref="L3:L34" si="1">D3*F3</f>
        <v>1350000</v>
      </c>
      <c r="M3" s="24">
        <v>45339</v>
      </c>
    </row>
    <row r="4" spans="1:13">
      <c r="A4" s="8" t="s">
        <v>19</v>
      </c>
      <c r="B4" s="9" t="s">
        <v>14</v>
      </c>
      <c r="C4" s="10" t="s">
        <v>20</v>
      </c>
      <c r="D4" s="8">
        <f t="shared" si="0"/>
        <v>63000</v>
      </c>
      <c r="E4" s="11">
        <v>70000</v>
      </c>
      <c r="F4" s="12">
        <v>30</v>
      </c>
      <c r="G4" s="13">
        <v>0.18</v>
      </c>
      <c r="H4" s="14" t="s">
        <v>16</v>
      </c>
      <c r="I4" s="22" t="s">
        <v>17</v>
      </c>
      <c r="J4" s="23"/>
      <c r="K4" s="22" t="s">
        <v>18</v>
      </c>
      <c r="L4" s="11">
        <f t="shared" si="1"/>
        <v>1890000</v>
      </c>
      <c r="M4" s="24">
        <v>45120</v>
      </c>
    </row>
    <row r="5" spans="1:13">
      <c r="A5" s="8" t="s">
        <v>21</v>
      </c>
      <c r="B5" s="9" t="s">
        <v>14</v>
      </c>
      <c r="C5" s="10" t="s">
        <v>15</v>
      </c>
      <c r="D5" s="8">
        <f t="shared" si="0"/>
        <v>40500</v>
      </c>
      <c r="E5" s="11">
        <v>45000</v>
      </c>
      <c r="F5" s="12">
        <v>8</v>
      </c>
      <c r="G5" s="13">
        <v>0.18</v>
      </c>
      <c r="H5" s="14" t="s">
        <v>16</v>
      </c>
      <c r="I5" s="22" t="s">
        <v>17</v>
      </c>
      <c r="J5" s="23"/>
      <c r="K5" s="22" t="s">
        <v>18</v>
      </c>
      <c r="L5" s="11">
        <f t="shared" si="1"/>
        <v>324000</v>
      </c>
      <c r="M5" s="24">
        <v>45444</v>
      </c>
    </row>
    <row r="6" spans="1:13">
      <c r="A6" s="8" t="s">
        <v>22</v>
      </c>
      <c r="B6" s="9" t="s">
        <v>14</v>
      </c>
      <c r="C6" s="10" t="s">
        <v>20</v>
      </c>
      <c r="D6" s="8">
        <f t="shared" si="0"/>
        <v>99000</v>
      </c>
      <c r="E6" s="11">
        <v>110000</v>
      </c>
      <c r="F6" s="12">
        <v>8</v>
      </c>
      <c r="G6" s="13">
        <v>0.18</v>
      </c>
      <c r="H6" s="14" t="s">
        <v>16</v>
      </c>
      <c r="I6" s="22" t="s">
        <v>17</v>
      </c>
      <c r="J6" s="23"/>
      <c r="K6" s="22" t="s">
        <v>18</v>
      </c>
      <c r="L6" s="11">
        <f t="shared" si="1"/>
        <v>792000</v>
      </c>
      <c r="M6" s="24">
        <v>45120</v>
      </c>
    </row>
    <row r="7" spans="1:13">
      <c r="A7" s="8" t="s">
        <v>23</v>
      </c>
      <c r="B7" s="9" t="s">
        <v>14</v>
      </c>
      <c r="C7" s="10" t="s">
        <v>20</v>
      </c>
      <c r="D7" s="8">
        <f t="shared" si="0"/>
        <v>45000</v>
      </c>
      <c r="E7" s="11">
        <v>50000</v>
      </c>
      <c r="F7" s="12">
        <v>18</v>
      </c>
      <c r="G7" s="13">
        <v>0.18</v>
      </c>
      <c r="H7" s="14" t="s">
        <v>16</v>
      </c>
      <c r="I7" s="22" t="s">
        <v>17</v>
      </c>
      <c r="J7" s="23"/>
      <c r="K7" s="22" t="s">
        <v>18</v>
      </c>
      <c r="L7" s="11">
        <f t="shared" si="1"/>
        <v>810000</v>
      </c>
      <c r="M7" s="24">
        <v>45120</v>
      </c>
    </row>
    <row r="8" spans="1:13">
      <c r="A8" s="8" t="s">
        <v>24</v>
      </c>
      <c r="B8" s="9" t="s">
        <v>14</v>
      </c>
      <c r="C8" s="10" t="s">
        <v>20</v>
      </c>
      <c r="D8" s="8">
        <f t="shared" si="0"/>
        <v>63000</v>
      </c>
      <c r="E8" s="11">
        <v>70000</v>
      </c>
      <c r="F8" s="12">
        <v>45</v>
      </c>
      <c r="G8" s="13">
        <v>0.18</v>
      </c>
      <c r="H8" s="14" t="s">
        <v>16</v>
      </c>
      <c r="I8" s="22" t="s">
        <v>17</v>
      </c>
      <c r="J8" s="23"/>
      <c r="K8" s="22" t="s">
        <v>18</v>
      </c>
      <c r="L8" s="11">
        <f t="shared" si="1"/>
        <v>2835000</v>
      </c>
      <c r="M8" s="24">
        <v>45120</v>
      </c>
    </row>
    <row r="9" spans="1:13">
      <c r="A9" s="8" t="s">
        <v>25</v>
      </c>
      <c r="B9" s="9" t="s">
        <v>14</v>
      </c>
      <c r="C9" s="10" t="s">
        <v>20</v>
      </c>
      <c r="D9" s="8">
        <f t="shared" si="0"/>
        <v>225000</v>
      </c>
      <c r="E9" s="11">
        <v>250000</v>
      </c>
      <c r="F9" s="12">
        <v>3</v>
      </c>
      <c r="G9" s="13">
        <v>0.18</v>
      </c>
      <c r="H9" s="14" t="s">
        <v>16</v>
      </c>
      <c r="I9" s="22" t="s">
        <v>17</v>
      </c>
      <c r="J9" s="23"/>
      <c r="K9" s="22" t="s">
        <v>18</v>
      </c>
      <c r="L9" s="11">
        <f t="shared" si="1"/>
        <v>675000</v>
      </c>
      <c r="M9" s="24">
        <v>45598</v>
      </c>
    </row>
    <row r="10" spans="1:13">
      <c r="A10" s="8" t="s">
        <v>26</v>
      </c>
      <c r="B10" s="9" t="s">
        <v>14</v>
      </c>
      <c r="C10" s="10" t="s">
        <v>20</v>
      </c>
      <c r="D10" s="8">
        <f t="shared" si="0"/>
        <v>135000</v>
      </c>
      <c r="E10" s="11">
        <v>150000</v>
      </c>
      <c r="F10" s="12">
        <v>10</v>
      </c>
      <c r="G10" s="13">
        <v>0.18</v>
      </c>
      <c r="H10" s="14" t="s">
        <v>16</v>
      </c>
      <c r="I10" s="22" t="s">
        <v>17</v>
      </c>
      <c r="J10" s="23"/>
      <c r="K10" s="22" t="s">
        <v>18</v>
      </c>
      <c r="L10" s="11">
        <f t="shared" si="1"/>
        <v>1350000</v>
      </c>
      <c r="M10" s="24">
        <v>45638</v>
      </c>
    </row>
    <row r="11" spans="1:13">
      <c r="A11" s="8" t="s">
        <v>27</v>
      </c>
      <c r="B11" s="9" t="s">
        <v>14</v>
      </c>
      <c r="C11" s="10" t="s">
        <v>28</v>
      </c>
      <c r="D11" s="8">
        <f t="shared" si="0"/>
        <v>108000</v>
      </c>
      <c r="E11" s="11">
        <v>120000</v>
      </c>
      <c r="F11" s="12">
        <v>6</v>
      </c>
      <c r="G11" s="13">
        <v>0.18</v>
      </c>
      <c r="H11" s="14" t="s">
        <v>16</v>
      </c>
      <c r="I11" s="22" t="s">
        <v>29</v>
      </c>
      <c r="J11" s="23"/>
      <c r="K11" s="22" t="s">
        <v>18</v>
      </c>
      <c r="L11" s="11">
        <f t="shared" si="1"/>
        <v>648000</v>
      </c>
      <c r="M11" s="24">
        <v>45638</v>
      </c>
    </row>
    <row r="12" spans="1:13">
      <c r="A12" s="10" t="s">
        <v>30</v>
      </c>
      <c r="B12" s="9" t="s">
        <v>14</v>
      </c>
      <c r="C12" s="10" t="s">
        <v>28</v>
      </c>
      <c r="D12" s="8">
        <f t="shared" si="0"/>
        <v>135000</v>
      </c>
      <c r="E12" s="11">
        <v>150000</v>
      </c>
      <c r="F12" s="12">
        <v>2</v>
      </c>
      <c r="G12" s="13">
        <v>0.18</v>
      </c>
      <c r="H12" s="14" t="s">
        <v>16</v>
      </c>
      <c r="I12" s="22" t="s">
        <v>29</v>
      </c>
      <c r="J12" s="23"/>
      <c r="K12" s="22" t="s">
        <v>18</v>
      </c>
      <c r="L12" s="11">
        <f t="shared" si="1"/>
        <v>270000</v>
      </c>
      <c r="M12" s="24">
        <v>45339</v>
      </c>
    </row>
    <row r="13" spans="1:13">
      <c r="A13" s="10" t="s">
        <v>31</v>
      </c>
      <c r="B13" s="9" t="s">
        <v>14</v>
      </c>
      <c r="C13" s="10" t="s">
        <v>28</v>
      </c>
      <c r="D13" s="8">
        <f t="shared" si="0"/>
        <v>135000</v>
      </c>
      <c r="E13" s="11">
        <v>150000</v>
      </c>
      <c r="F13" s="12">
        <v>2</v>
      </c>
      <c r="G13" s="13">
        <v>0.18</v>
      </c>
      <c r="H13" s="14" t="s">
        <v>16</v>
      </c>
      <c r="I13" s="22" t="s">
        <v>29</v>
      </c>
      <c r="J13" s="23"/>
      <c r="K13" s="22" t="s">
        <v>18</v>
      </c>
      <c r="L13" s="11">
        <f t="shared" si="1"/>
        <v>270000</v>
      </c>
      <c r="M13" s="24">
        <v>45339</v>
      </c>
    </row>
    <row r="14" spans="1:13">
      <c r="A14" s="10" t="s">
        <v>32</v>
      </c>
      <c r="B14" s="9" t="s">
        <v>14</v>
      </c>
      <c r="C14" s="10" t="s">
        <v>33</v>
      </c>
      <c r="D14" s="8">
        <f t="shared" si="0"/>
        <v>270000</v>
      </c>
      <c r="E14" s="11">
        <v>300000</v>
      </c>
      <c r="F14" s="12">
        <v>3</v>
      </c>
      <c r="G14" s="13">
        <v>0.18</v>
      </c>
      <c r="H14" s="14" t="s">
        <v>16</v>
      </c>
      <c r="I14" s="22" t="s">
        <v>33</v>
      </c>
      <c r="J14" s="23"/>
      <c r="K14" s="22" t="s">
        <v>18</v>
      </c>
      <c r="L14" s="11">
        <f t="shared" si="1"/>
        <v>810000</v>
      </c>
      <c r="M14" s="24">
        <v>45444</v>
      </c>
    </row>
    <row r="15" spans="1:13">
      <c r="A15" s="10" t="s">
        <v>34</v>
      </c>
      <c r="B15" s="9" t="s">
        <v>14</v>
      </c>
      <c r="C15" s="10" t="s">
        <v>35</v>
      </c>
      <c r="D15" s="8">
        <f t="shared" si="0"/>
        <v>261000</v>
      </c>
      <c r="E15" s="11">
        <v>290000</v>
      </c>
      <c r="F15" s="12">
        <v>4</v>
      </c>
      <c r="G15" s="13">
        <v>0.18</v>
      </c>
      <c r="H15" s="14" t="s">
        <v>16</v>
      </c>
      <c r="I15" s="22" t="s">
        <v>35</v>
      </c>
      <c r="J15" s="23"/>
      <c r="K15" s="22" t="s">
        <v>18</v>
      </c>
      <c r="L15" s="11">
        <f t="shared" si="1"/>
        <v>1044000</v>
      </c>
      <c r="M15" s="24">
        <v>45555</v>
      </c>
    </row>
    <row r="16" spans="1:13">
      <c r="A16" s="10" t="s">
        <v>36</v>
      </c>
      <c r="B16" s="9" t="s">
        <v>14</v>
      </c>
      <c r="C16" s="10" t="s">
        <v>37</v>
      </c>
      <c r="D16" s="8">
        <f t="shared" si="0"/>
        <v>243000</v>
      </c>
      <c r="E16" s="11">
        <v>270000</v>
      </c>
      <c r="F16" s="12">
        <v>6</v>
      </c>
      <c r="G16" s="13">
        <v>0.18</v>
      </c>
      <c r="H16" s="14" t="s">
        <v>16</v>
      </c>
      <c r="I16" s="22" t="s">
        <v>37</v>
      </c>
      <c r="J16" s="23"/>
      <c r="K16" s="22" t="s">
        <v>18</v>
      </c>
      <c r="L16" s="11">
        <f t="shared" si="1"/>
        <v>1458000</v>
      </c>
      <c r="M16" s="24">
        <v>45444</v>
      </c>
    </row>
    <row r="17" spans="1:13">
      <c r="A17" s="10" t="s">
        <v>38</v>
      </c>
      <c r="B17" s="9" t="s">
        <v>14</v>
      </c>
      <c r="C17" s="10" t="s">
        <v>39</v>
      </c>
      <c r="D17" s="8">
        <f t="shared" si="0"/>
        <v>261000</v>
      </c>
      <c r="E17" s="11">
        <v>290000</v>
      </c>
      <c r="F17" s="12">
        <v>4</v>
      </c>
      <c r="G17" s="13">
        <v>0.18</v>
      </c>
      <c r="H17" s="14" t="s">
        <v>16</v>
      </c>
      <c r="I17" s="22" t="s">
        <v>39</v>
      </c>
      <c r="J17" s="23"/>
      <c r="K17" s="22" t="s">
        <v>18</v>
      </c>
      <c r="L17" s="11">
        <f t="shared" si="1"/>
        <v>1044000</v>
      </c>
      <c r="M17" s="24">
        <v>45444</v>
      </c>
    </row>
    <row r="18" spans="1:13">
      <c r="A18" s="10" t="s">
        <v>40</v>
      </c>
      <c r="B18" s="9" t="s">
        <v>14</v>
      </c>
      <c r="C18" s="10" t="s">
        <v>39</v>
      </c>
      <c r="D18" s="8">
        <f t="shared" si="0"/>
        <v>405000</v>
      </c>
      <c r="E18" s="11">
        <v>450000</v>
      </c>
      <c r="F18" s="12">
        <v>10</v>
      </c>
      <c r="G18" s="13">
        <v>0.18</v>
      </c>
      <c r="H18" s="14" t="s">
        <v>16</v>
      </c>
      <c r="I18" s="22" t="s">
        <v>39</v>
      </c>
      <c r="J18" s="23"/>
      <c r="K18" s="22" t="s">
        <v>18</v>
      </c>
      <c r="L18" s="11">
        <f t="shared" si="1"/>
        <v>4050000</v>
      </c>
      <c r="M18" s="24">
        <v>45444</v>
      </c>
    </row>
    <row r="19" spans="1:13">
      <c r="A19" s="10" t="s">
        <v>41</v>
      </c>
      <c r="B19" s="9" t="s">
        <v>14</v>
      </c>
      <c r="C19" s="10" t="s">
        <v>42</v>
      </c>
      <c r="D19" s="8">
        <f t="shared" si="0"/>
        <v>450000</v>
      </c>
      <c r="E19" s="11">
        <v>500000</v>
      </c>
      <c r="F19" s="12">
        <v>6</v>
      </c>
      <c r="G19" s="13">
        <v>0.18</v>
      </c>
      <c r="H19" s="14" t="s">
        <v>16</v>
      </c>
      <c r="I19" s="22" t="s">
        <v>42</v>
      </c>
      <c r="J19" s="23"/>
      <c r="K19" s="22" t="s">
        <v>18</v>
      </c>
      <c r="L19" s="11">
        <f t="shared" si="1"/>
        <v>2700000</v>
      </c>
      <c r="M19" s="24">
        <v>45444</v>
      </c>
    </row>
    <row r="20" spans="1:13">
      <c r="A20" s="10" t="s">
        <v>41</v>
      </c>
      <c r="B20" s="9" t="s">
        <v>14</v>
      </c>
      <c r="C20" s="10" t="s">
        <v>43</v>
      </c>
      <c r="D20" s="8">
        <f t="shared" si="0"/>
        <v>270000</v>
      </c>
      <c r="E20" s="11">
        <v>300000</v>
      </c>
      <c r="F20" s="12">
        <v>6</v>
      </c>
      <c r="G20" s="13">
        <v>0.18</v>
      </c>
      <c r="H20" s="14" t="s">
        <v>16</v>
      </c>
      <c r="I20" s="22" t="s">
        <v>43</v>
      </c>
      <c r="J20" s="23"/>
      <c r="K20" s="22" t="s">
        <v>18</v>
      </c>
      <c r="L20" s="11">
        <f t="shared" si="1"/>
        <v>1620000</v>
      </c>
      <c r="M20" s="24">
        <v>45444</v>
      </c>
    </row>
    <row r="21" spans="1:13">
      <c r="A21" s="15" t="s">
        <v>44</v>
      </c>
      <c r="B21" s="9" t="s">
        <v>14</v>
      </c>
      <c r="C21" s="15" t="s">
        <v>45</v>
      </c>
      <c r="D21" s="8">
        <f t="shared" si="0"/>
        <v>2700</v>
      </c>
      <c r="E21" s="16">
        <v>3000</v>
      </c>
      <c r="F21" s="17">
        <v>425</v>
      </c>
      <c r="G21" s="13">
        <v>0.18</v>
      </c>
      <c r="H21" s="14" t="s">
        <v>16</v>
      </c>
      <c r="I21" s="22" t="s">
        <v>45</v>
      </c>
      <c r="K21" s="22" t="s">
        <v>18</v>
      </c>
      <c r="L21" s="11">
        <f t="shared" si="1"/>
        <v>1147500</v>
      </c>
      <c r="M21" s="24">
        <v>45444</v>
      </c>
    </row>
    <row r="22" spans="1:13">
      <c r="A22" s="15" t="s">
        <v>46</v>
      </c>
      <c r="B22" s="9" t="s">
        <v>14</v>
      </c>
      <c r="C22" s="15" t="s">
        <v>47</v>
      </c>
      <c r="D22" s="8">
        <f t="shared" si="0"/>
        <v>1800</v>
      </c>
      <c r="E22" s="16">
        <v>2000</v>
      </c>
      <c r="F22" s="17">
        <v>425</v>
      </c>
      <c r="G22" s="13">
        <v>0.18</v>
      </c>
      <c r="H22" s="14" t="s">
        <v>16</v>
      </c>
      <c r="I22" s="22" t="s">
        <v>47</v>
      </c>
      <c r="K22" s="22" t="s">
        <v>18</v>
      </c>
      <c r="L22" s="11">
        <f t="shared" si="1"/>
        <v>765000</v>
      </c>
      <c r="M22" s="24">
        <v>45444</v>
      </c>
    </row>
    <row r="23" spans="1:13">
      <c r="A23" s="18" t="s">
        <v>48</v>
      </c>
      <c r="B23" s="9" t="s">
        <v>14</v>
      </c>
      <c r="C23" s="15" t="s">
        <v>49</v>
      </c>
      <c r="D23" s="8">
        <f t="shared" si="0"/>
        <v>4500</v>
      </c>
      <c r="E23" s="16">
        <v>5000</v>
      </c>
      <c r="F23" s="17">
        <v>138</v>
      </c>
      <c r="G23" s="13">
        <v>0.18</v>
      </c>
      <c r="H23" s="14" t="s">
        <v>16</v>
      </c>
      <c r="I23" s="22" t="s">
        <v>49</v>
      </c>
      <c r="K23" s="22" t="s">
        <v>18</v>
      </c>
      <c r="L23" s="11">
        <f t="shared" si="1"/>
        <v>621000</v>
      </c>
      <c r="M23" s="24">
        <v>45444</v>
      </c>
    </row>
    <row r="24" spans="1:13">
      <c r="A24" s="18" t="s">
        <v>50</v>
      </c>
      <c r="B24" s="9" t="s">
        <v>14</v>
      </c>
      <c r="C24" s="15" t="s">
        <v>51</v>
      </c>
      <c r="D24" s="8">
        <f t="shared" si="0"/>
        <v>4500</v>
      </c>
      <c r="E24" s="16">
        <v>5000</v>
      </c>
      <c r="F24" s="17">
        <v>138</v>
      </c>
      <c r="G24" s="13">
        <v>0.18</v>
      </c>
      <c r="H24" s="14" t="s">
        <v>16</v>
      </c>
      <c r="I24" s="22" t="s">
        <v>51</v>
      </c>
      <c r="K24" s="22" t="s">
        <v>18</v>
      </c>
      <c r="L24" s="11">
        <f t="shared" si="1"/>
        <v>621000</v>
      </c>
      <c r="M24" s="24">
        <v>45444</v>
      </c>
    </row>
    <row r="25" spans="1:13">
      <c r="A25" s="15" t="s">
        <v>52</v>
      </c>
      <c r="B25" s="9" t="s">
        <v>14</v>
      </c>
      <c r="C25" s="15" t="s">
        <v>53</v>
      </c>
      <c r="D25" s="8">
        <f t="shared" si="0"/>
        <v>405000</v>
      </c>
      <c r="E25" s="16">
        <v>450000</v>
      </c>
      <c r="F25" s="17">
        <v>2</v>
      </c>
      <c r="G25" s="13">
        <v>0.18</v>
      </c>
      <c r="H25" s="14" t="s">
        <v>16</v>
      </c>
      <c r="I25" s="22" t="s">
        <v>54</v>
      </c>
      <c r="K25" s="22" t="s">
        <v>18</v>
      </c>
      <c r="L25" s="11">
        <f t="shared" si="1"/>
        <v>810000</v>
      </c>
      <c r="M25" s="24">
        <v>45444</v>
      </c>
    </row>
    <row r="26" spans="1:13">
      <c r="A26" s="15" t="s">
        <v>55</v>
      </c>
      <c r="B26" s="9" t="s">
        <v>14</v>
      </c>
      <c r="C26" s="15" t="s">
        <v>56</v>
      </c>
      <c r="D26" s="8">
        <f t="shared" si="0"/>
        <v>225000</v>
      </c>
      <c r="E26" s="16">
        <v>250000</v>
      </c>
      <c r="F26" s="17">
        <v>3</v>
      </c>
      <c r="G26" s="13">
        <v>0.18</v>
      </c>
      <c r="H26" s="14" t="s">
        <v>16</v>
      </c>
      <c r="I26" s="22" t="s">
        <v>56</v>
      </c>
      <c r="K26" s="22" t="s">
        <v>18</v>
      </c>
      <c r="L26" s="11">
        <f t="shared" si="1"/>
        <v>675000</v>
      </c>
      <c r="M26" s="24">
        <v>45444</v>
      </c>
    </row>
    <row r="27" spans="1:13">
      <c r="A27" s="15" t="s">
        <v>41</v>
      </c>
      <c r="B27" s="9" t="s">
        <v>14</v>
      </c>
      <c r="C27" s="15" t="s">
        <v>57</v>
      </c>
      <c r="D27" s="8">
        <f t="shared" si="0"/>
        <v>270000</v>
      </c>
      <c r="E27" s="16">
        <v>300000</v>
      </c>
      <c r="F27" s="17">
        <v>2</v>
      </c>
      <c r="G27" s="13">
        <v>0.18</v>
      </c>
      <c r="H27" s="14" t="s">
        <v>16</v>
      </c>
      <c r="I27" s="22" t="s">
        <v>57</v>
      </c>
      <c r="K27" s="22" t="s">
        <v>18</v>
      </c>
      <c r="L27" s="11">
        <f t="shared" si="1"/>
        <v>540000</v>
      </c>
      <c r="M27" s="24">
        <v>45444</v>
      </c>
    </row>
    <row r="28" spans="1:13">
      <c r="A28" s="15" t="s">
        <v>58</v>
      </c>
      <c r="B28" s="9" t="s">
        <v>14</v>
      </c>
      <c r="C28" s="15" t="s">
        <v>59</v>
      </c>
      <c r="D28" s="8">
        <f t="shared" si="0"/>
        <v>0</v>
      </c>
      <c r="G28" s="13">
        <v>0.18</v>
      </c>
      <c r="H28" s="14" t="s">
        <v>16</v>
      </c>
      <c r="I28" s="22" t="s">
        <v>59</v>
      </c>
      <c r="K28" s="22" t="s">
        <v>18</v>
      </c>
      <c r="L28" s="11">
        <f t="shared" si="1"/>
        <v>0</v>
      </c>
      <c r="M28" s="24">
        <v>45444</v>
      </c>
    </row>
    <row r="29" spans="1:13">
      <c r="A29" s="15" t="s">
        <v>60</v>
      </c>
      <c r="B29" s="9" t="s">
        <v>14</v>
      </c>
      <c r="C29" s="15" t="s">
        <v>61</v>
      </c>
      <c r="D29" s="8">
        <f t="shared" si="0"/>
        <v>13500</v>
      </c>
      <c r="E29" s="16">
        <v>15000</v>
      </c>
      <c r="F29" s="17">
        <v>35</v>
      </c>
      <c r="G29" s="13">
        <v>0.18</v>
      </c>
      <c r="H29" s="14" t="s">
        <v>16</v>
      </c>
      <c r="I29" s="22" t="s">
        <v>61</v>
      </c>
      <c r="K29" s="22" t="s">
        <v>18</v>
      </c>
      <c r="L29" s="11">
        <f t="shared" si="1"/>
        <v>472500</v>
      </c>
      <c r="M29" s="24">
        <v>45444</v>
      </c>
    </row>
    <row r="30" spans="1:13">
      <c r="A30" s="15" t="s">
        <v>62</v>
      </c>
      <c r="B30" s="9" t="s">
        <v>14</v>
      </c>
      <c r="C30" s="15" t="s">
        <v>63</v>
      </c>
      <c r="D30" s="8">
        <f t="shared" si="0"/>
        <v>81000</v>
      </c>
      <c r="E30" s="16">
        <v>90000</v>
      </c>
      <c r="F30" s="17">
        <v>3</v>
      </c>
      <c r="G30" s="13">
        <v>0.18</v>
      </c>
      <c r="H30" s="14" t="s">
        <v>16</v>
      </c>
      <c r="I30" s="22" t="s">
        <v>63</v>
      </c>
      <c r="K30" s="22" t="s">
        <v>18</v>
      </c>
      <c r="L30" s="11">
        <f t="shared" si="1"/>
        <v>243000</v>
      </c>
      <c r="M30" s="24">
        <v>45486</v>
      </c>
    </row>
    <row r="31" spans="1:13">
      <c r="A31" s="15" t="s">
        <v>64</v>
      </c>
      <c r="B31" s="9" t="s">
        <v>14</v>
      </c>
      <c r="C31" s="15" t="s">
        <v>65</v>
      </c>
      <c r="D31" s="8">
        <f t="shared" si="0"/>
        <v>13500</v>
      </c>
      <c r="E31" s="16">
        <v>15000</v>
      </c>
      <c r="F31" s="17">
        <v>50</v>
      </c>
      <c r="G31" s="13">
        <v>0.18</v>
      </c>
      <c r="H31" s="14" t="s">
        <v>16</v>
      </c>
      <c r="I31" s="22" t="s">
        <v>65</v>
      </c>
      <c r="K31" s="22" t="s">
        <v>18</v>
      </c>
      <c r="L31" s="11">
        <f t="shared" si="1"/>
        <v>675000</v>
      </c>
      <c r="M31" s="24">
        <v>45486</v>
      </c>
    </row>
    <row r="32" spans="1:13">
      <c r="A32" s="15" t="s">
        <v>66</v>
      </c>
      <c r="B32" s="9" t="s">
        <v>14</v>
      </c>
      <c r="C32" s="15" t="s">
        <v>67</v>
      </c>
      <c r="D32" s="8">
        <f t="shared" si="0"/>
        <v>4500</v>
      </c>
      <c r="E32" s="16">
        <v>5000</v>
      </c>
      <c r="F32" s="17">
        <v>27</v>
      </c>
      <c r="G32" s="13">
        <v>0.18</v>
      </c>
      <c r="H32" s="14" t="s">
        <v>16</v>
      </c>
      <c r="I32" s="22" t="s">
        <v>67</v>
      </c>
      <c r="K32" s="22" t="s">
        <v>18</v>
      </c>
      <c r="L32" s="11">
        <f t="shared" si="1"/>
        <v>121500</v>
      </c>
      <c r="M32" s="24">
        <v>45525</v>
      </c>
    </row>
    <row r="33" spans="1:13">
      <c r="A33" s="15" t="s">
        <v>41</v>
      </c>
      <c r="B33" s="9" t="s">
        <v>14</v>
      </c>
      <c r="C33" s="15" t="s">
        <v>68</v>
      </c>
      <c r="D33" s="8">
        <f t="shared" si="0"/>
        <v>90000</v>
      </c>
      <c r="E33" s="16">
        <v>100000</v>
      </c>
      <c r="F33" s="17">
        <v>3</v>
      </c>
      <c r="G33" s="13">
        <v>0.18</v>
      </c>
      <c r="H33" s="14" t="s">
        <v>16</v>
      </c>
      <c r="I33" s="22" t="s">
        <v>69</v>
      </c>
      <c r="K33" s="22" t="s">
        <v>18</v>
      </c>
      <c r="L33" s="11">
        <f t="shared" si="1"/>
        <v>270000</v>
      </c>
      <c r="M33" s="24">
        <v>45562</v>
      </c>
    </row>
    <row r="34" spans="1:13">
      <c r="A34" s="15" t="s">
        <v>70</v>
      </c>
      <c r="B34" s="9" t="s">
        <v>14</v>
      </c>
      <c r="C34" s="15" t="s">
        <v>71</v>
      </c>
      <c r="D34" s="8">
        <f t="shared" si="0"/>
        <v>765000</v>
      </c>
      <c r="E34" s="16">
        <v>850000</v>
      </c>
      <c r="F34" s="17">
        <v>2</v>
      </c>
      <c r="G34" s="13">
        <v>0.18</v>
      </c>
      <c r="H34" s="14" t="s">
        <v>16</v>
      </c>
      <c r="I34" s="22" t="s">
        <v>72</v>
      </c>
      <c r="K34" s="22" t="s">
        <v>18</v>
      </c>
      <c r="L34" s="11">
        <f t="shared" si="1"/>
        <v>1530000</v>
      </c>
      <c r="M34" s="24">
        <v>45562</v>
      </c>
    </row>
    <row r="35" spans="1:13">
      <c r="A35" s="15" t="s">
        <v>41</v>
      </c>
      <c r="B35" s="9" t="s">
        <v>14</v>
      </c>
      <c r="C35" s="15" t="s">
        <v>73</v>
      </c>
      <c r="D35" s="8">
        <f t="shared" ref="D35:D57" si="2">0.9*E35</f>
        <v>450000</v>
      </c>
      <c r="E35" s="16">
        <v>500000</v>
      </c>
      <c r="F35" s="17">
        <v>4</v>
      </c>
      <c r="G35" s="13">
        <v>0.18</v>
      </c>
      <c r="H35" s="14" t="s">
        <v>16</v>
      </c>
      <c r="I35" s="22" t="s">
        <v>73</v>
      </c>
      <c r="K35" s="22" t="s">
        <v>18</v>
      </c>
      <c r="L35" s="11">
        <f t="shared" ref="L35:L57" si="3">D35*F35</f>
        <v>1800000</v>
      </c>
      <c r="M35" s="24">
        <v>45339</v>
      </c>
    </row>
    <row r="36" spans="1:13">
      <c r="A36" s="15" t="s">
        <v>41</v>
      </c>
      <c r="B36" s="9" t="s">
        <v>14</v>
      </c>
      <c r="C36" s="15" t="s">
        <v>74</v>
      </c>
      <c r="D36" s="8">
        <f t="shared" si="2"/>
        <v>1350000</v>
      </c>
      <c r="E36" s="16">
        <v>1500000</v>
      </c>
      <c r="F36" s="17">
        <v>1</v>
      </c>
      <c r="G36" s="13">
        <v>0.18</v>
      </c>
      <c r="H36" s="14" t="s">
        <v>16</v>
      </c>
      <c r="I36" s="22" t="s">
        <v>74</v>
      </c>
      <c r="K36" s="22" t="s">
        <v>18</v>
      </c>
      <c r="L36" s="11">
        <f t="shared" si="3"/>
        <v>1350000</v>
      </c>
      <c r="M36" s="24">
        <v>45444</v>
      </c>
    </row>
    <row r="37" spans="1:13">
      <c r="A37" s="15" t="s">
        <v>41</v>
      </c>
      <c r="B37" s="9" t="s">
        <v>14</v>
      </c>
      <c r="C37" s="15" t="s">
        <v>74</v>
      </c>
      <c r="D37" s="8">
        <f t="shared" si="2"/>
        <v>1350000</v>
      </c>
      <c r="E37" s="16">
        <v>1500000</v>
      </c>
      <c r="F37" s="17">
        <v>1</v>
      </c>
      <c r="G37" s="13">
        <v>0.18</v>
      </c>
      <c r="H37" s="14" t="s">
        <v>16</v>
      </c>
      <c r="I37" s="22" t="s">
        <v>74</v>
      </c>
      <c r="K37" s="22" t="s">
        <v>18</v>
      </c>
      <c r="L37" s="11">
        <f t="shared" si="3"/>
        <v>1350000</v>
      </c>
      <c r="M37" s="24">
        <v>45339</v>
      </c>
    </row>
    <row r="38" spans="1:13">
      <c r="A38" s="15" t="s">
        <v>75</v>
      </c>
      <c r="B38" s="9" t="s">
        <v>14</v>
      </c>
      <c r="C38" s="15" t="s">
        <v>76</v>
      </c>
      <c r="D38" s="8">
        <f t="shared" si="2"/>
        <v>58500</v>
      </c>
      <c r="E38" s="16">
        <v>65000</v>
      </c>
      <c r="F38" s="17">
        <v>9</v>
      </c>
      <c r="G38" s="13">
        <v>0.18</v>
      </c>
      <c r="H38" s="14" t="s">
        <v>16</v>
      </c>
      <c r="I38" s="22" t="s">
        <v>76</v>
      </c>
      <c r="K38" s="22" t="s">
        <v>18</v>
      </c>
      <c r="L38" s="11">
        <f t="shared" si="3"/>
        <v>526500</v>
      </c>
      <c r="M38" s="24">
        <v>45444</v>
      </c>
    </row>
    <row r="39" spans="1:13">
      <c r="A39" s="15" t="s">
        <v>77</v>
      </c>
      <c r="B39" s="9" t="s">
        <v>14</v>
      </c>
      <c r="C39" s="15" t="s">
        <v>76</v>
      </c>
      <c r="D39" s="8">
        <f t="shared" si="2"/>
        <v>54000</v>
      </c>
      <c r="E39" s="16">
        <v>60000</v>
      </c>
      <c r="F39" s="17">
        <v>12</v>
      </c>
      <c r="G39" s="13">
        <v>0.18</v>
      </c>
      <c r="H39" s="14" t="s">
        <v>16</v>
      </c>
      <c r="I39" s="22" t="s">
        <v>76</v>
      </c>
      <c r="K39" s="22" t="s">
        <v>18</v>
      </c>
      <c r="L39" s="11">
        <f t="shared" si="3"/>
        <v>648000</v>
      </c>
      <c r="M39" s="24">
        <v>45444</v>
      </c>
    </row>
    <row r="40" spans="1:13">
      <c r="A40" s="15" t="s">
        <v>78</v>
      </c>
      <c r="B40" s="9" t="s">
        <v>14</v>
      </c>
      <c r="C40" s="15" t="s">
        <v>79</v>
      </c>
      <c r="D40" s="8">
        <f t="shared" si="2"/>
        <v>31500</v>
      </c>
      <c r="E40" s="16">
        <v>35000</v>
      </c>
      <c r="F40" s="17">
        <v>18</v>
      </c>
      <c r="G40" s="13">
        <v>0.18</v>
      </c>
      <c r="H40" s="14" t="s">
        <v>16</v>
      </c>
      <c r="I40" s="22" t="s">
        <v>79</v>
      </c>
      <c r="K40" s="22" t="s">
        <v>18</v>
      </c>
      <c r="L40" s="11">
        <f t="shared" si="3"/>
        <v>567000</v>
      </c>
      <c r="M40" s="24">
        <v>45444</v>
      </c>
    </row>
    <row r="41" spans="1:13">
      <c r="A41" s="15" t="s">
        <v>80</v>
      </c>
      <c r="B41" s="9" t="s">
        <v>14</v>
      </c>
      <c r="C41" s="15" t="s">
        <v>81</v>
      </c>
      <c r="D41" s="8">
        <f t="shared" si="2"/>
        <v>27000</v>
      </c>
      <c r="E41" s="16">
        <v>30000</v>
      </c>
      <c r="F41" s="17">
        <v>10</v>
      </c>
      <c r="G41" s="13">
        <v>0.18</v>
      </c>
      <c r="H41" s="14" t="s">
        <v>16</v>
      </c>
      <c r="I41" s="22" t="s">
        <v>81</v>
      </c>
      <c r="K41" s="22" t="s">
        <v>18</v>
      </c>
      <c r="L41" s="11">
        <f t="shared" si="3"/>
        <v>270000</v>
      </c>
      <c r="M41" s="24">
        <v>45638</v>
      </c>
    </row>
    <row r="42" spans="1:13">
      <c r="A42" s="15" t="s">
        <v>82</v>
      </c>
      <c r="B42" s="9" t="s">
        <v>14</v>
      </c>
      <c r="C42" s="15" t="s">
        <v>83</v>
      </c>
      <c r="D42" s="8">
        <f t="shared" si="2"/>
        <v>31500</v>
      </c>
      <c r="E42" s="16">
        <v>35000</v>
      </c>
      <c r="F42" s="17">
        <v>14</v>
      </c>
      <c r="G42" s="13">
        <v>0.18</v>
      </c>
      <c r="H42" s="14" t="s">
        <v>16</v>
      </c>
      <c r="I42" s="22" t="s">
        <v>83</v>
      </c>
      <c r="K42" s="22" t="s">
        <v>18</v>
      </c>
      <c r="L42" s="11">
        <f t="shared" si="3"/>
        <v>441000</v>
      </c>
      <c r="M42" s="24">
        <v>45444</v>
      </c>
    </row>
    <row r="43" spans="1:13">
      <c r="A43" s="15" t="s">
        <v>84</v>
      </c>
      <c r="B43" s="9" t="s">
        <v>14</v>
      </c>
      <c r="C43" s="15" t="s">
        <v>85</v>
      </c>
      <c r="D43" s="8">
        <f t="shared" si="2"/>
        <v>162000</v>
      </c>
      <c r="E43" s="16">
        <v>180000</v>
      </c>
      <c r="F43" s="17">
        <v>5</v>
      </c>
      <c r="G43" s="13">
        <v>0.18</v>
      </c>
      <c r="H43" s="14" t="s">
        <v>16</v>
      </c>
      <c r="I43" s="22" t="s">
        <v>85</v>
      </c>
      <c r="K43" s="22" t="s">
        <v>18</v>
      </c>
      <c r="L43" s="11">
        <f t="shared" si="3"/>
        <v>810000</v>
      </c>
      <c r="M43" s="24">
        <v>45525</v>
      </c>
    </row>
    <row r="44" spans="1:13">
      <c r="A44" s="15" t="s">
        <v>86</v>
      </c>
      <c r="B44" s="9" t="s">
        <v>14</v>
      </c>
      <c r="C44" s="15" t="s">
        <v>87</v>
      </c>
      <c r="D44" s="8">
        <f t="shared" si="2"/>
        <v>63000</v>
      </c>
      <c r="E44" s="16">
        <v>70000</v>
      </c>
      <c r="F44" s="17">
        <v>10</v>
      </c>
      <c r="G44" s="13">
        <v>0.18</v>
      </c>
      <c r="H44" s="14" t="s">
        <v>16</v>
      </c>
      <c r="I44" s="22" t="s">
        <v>87</v>
      </c>
      <c r="K44" s="22" t="s">
        <v>18</v>
      </c>
      <c r="L44" s="11">
        <f t="shared" si="3"/>
        <v>630000</v>
      </c>
      <c r="M44" s="24">
        <v>45444</v>
      </c>
    </row>
    <row r="45" spans="1:13">
      <c r="A45" s="15" t="s">
        <v>88</v>
      </c>
      <c r="B45" s="9" t="s">
        <v>14</v>
      </c>
      <c r="C45" s="15" t="s">
        <v>89</v>
      </c>
      <c r="D45" s="8">
        <f t="shared" si="2"/>
        <v>76500</v>
      </c>
      <c r="E45" s="16">
        <v>85000</v>
      </c>
      <c r="F45" s="17">
        <v>2</v>
      </c>
      <c r="G45" s="13">
        <v>0.18</v>
      </c>
      <c r="H45" s="14" t="s">
        <v>16</v>
      </c>
      <c r="I45" s="22" t="s">
        <v>90</v>
      </c>
      <c r="K45" s="22" t="s">
        <v>18</v>
      </c>
      <c r="L45" s="11">
        <f t="shared" si="3"/>
        <v>153000</v>
      </c>
      <c r="M45" s="24">
        <v>45444</v>
      </c>
    </row>
    <row r="46" spans="1:13">
      <c r="A46" s="15" t="s">
        <v>91</v>
      </c>
      <c r="B46" s="9" t="s">
        <v>14</v>
      </c>
      <c r="C46" s="15" t="s">
        <v>92</v>
      </c>
      <c r="D46" s="8">
        <f t="shared" si="2"/>
        <v>58500</v>
      </c>
      <c r="E46" s="16">
        <v>65000</v>
      </c>
      <c r="F46" s="17">
        <v>5</v>
      </c>
      <c r="G46" s="13">
        <v>0.18</v>
      </c>
      <c r="H46" s="14" t="s">
        <v>16</v>
      </c>
      <c r="I46" s="22" t="s">
        <v>93</v>
      </c>
      <c r="K46" s="22" t="s">
        <v>18</v>
      </c>
      <c r="L46" s="11">
        <f t="shared" si="3"/>
        <v>292500</v>
      </c>
      <c r="M46" s="24">
        <v>45444</v>
      </c>
    </row>
    <row r="47" spans="1:13">
      <c r="A47" s="15" t="s">
        <v>94</v>
      </c>
      <c r="B47" s="9" t="s">
        <v>14</v>
      </c>
      <c r="C47" s="15" t="s">
        <v>89</v>
      </c>
      <c r="D47" s="8">
        <f t="shared" si="2"/>
        <v>76500</v>
      </c>
      <c r="E47" s="16">
        <v>85000</v>
      </c>
      <c r="F47" s="17">
        <v>5</v>
      </c>
      <c r="G47" s="13">
        <v>0.18</v>
      </c>
      <c r="H47" s="14" t="s">
        <v>16</v>
      </c>
      <c r="I47" s="22" t="s">
        <v>90</v>
      </c>
      <c r="K47" s="22" t="s">
        <v>18</v>
      </c>
      <c r="L47" s="11">
        <f t="shared" si="3"/>
        <v>382500</v>
      </c>
      <c r="M47" s="24">
        <v>45444</v>
      </c>
    </row>
    <row r="48" spans="1:13">
      <c r="A48" s="15" t="s">
        <v>95</v>
      </c>
      <c r="B48" s="9" t="s">
        <v>14</v>
      </c>
      <c r="C48" s="15" t="s">
        <v>96</v>
      </c>
      <c r="D48" s="8">
        <f t="shared" si="2"/>
        <v>63000</v>
      </c>
      <c r="E48" s="16">
        <v>70000</v>
      </c>
      <c r="F48" s="17">
        <v>10</v>
      </c>
      <c r="G48" s="13">
        <v>0.18</v>
      </c>
      <c r="H48" s="14" t="s">
        <v>16</v>
      </c>
      <c r="I48" s="22" t="s">
        <v>97</v>
      </c>
      <c r="K48" s="22" t="s">
        <v>18</v>
      </c>
      <c r="L48" s="11">
        <f t="shared" si="3"/>
        <v>630000</v>
      </c>
      <c r="M48" s="24">
        <v>45444</v>
      </c>
    </row>
    <row r="49" spans="1:13">
      <c r="A49" s="15" t="s">
        <v>98</v>
      </c>
      <c r="B49" s="9" t="s">
        <v>14</v>
      </c>
      <c r="C49" s="15" t="s">
        <v>99</v>
      </c>
      <c r="D49" s="8">
        <f t="shared" si="2"/>
        <v>54000</v>
      </c>
      <c r="E49" s="16">
        <v>60000</v>
      </c>
      <c r="F49" s="17">
        <v>4</v>
      </c>
      <c r="G49" s="13">
        <v>0.18</v>
      </c>
      <c r="H49" s="14" t="s">
        <v>16</v>
      </c>
      <c r="I49" s="22" t="s">
        <v>99</v>
      </c>
      <c r="K49" s="22" t="s">
        <v>18</v>
      </c>
      <c r="L49" s="11">
        <f t="shared" si="3"/>
        <v>216000</v>
      </c>
      <c r="M49" s="24">
        <v>45444</v>
      </c>
    </row>
    <row r="50" spans="1:13">
      <c r="A50" s="15" t="s">
        <v>100</v>
      </c>
      <c r="B50" s="9" t="s">
        <v>14</v>
      </c>
      <c r="C50" s="15" t="s">
        <v>89</v>
      </c>
      <c r="D50" s="8">
        <f t="shared" si="2"/>
        <v>58500</v>
      </c>
      <c r="E50" s="16">
        <v>65000</v>
      </c>
      <c r="F50" s="17">
        <v>2</v>
      </c>
      <c r="G50" s="13">
        <v>0.18</v>
      </c>
      <c r="H50" s="14" t="s">
        <v>16</v>
      </c>
      <c r="I50" s="22" t="s">
        <v>90</v>
      </c>
      <c r="K50" s="22" t="s">
        <v>18</v>
      </c>
      <c r="L50" s="11">
        <f t="shared" si="3"/>
        <v>117000</v>
      </c>
      <c r="M50" s="24">
        <v>45444</v>
      </c>
    </row>
    <row r="51" spans="1:13">
      <c r="A51" s="15" t="s">
        <v>101</v>
      </c>
      <c r="B51" s="9" t="s">
        <v>14</v>
      </c>
      <c r="C51" s="15" t="s">
        <v>89</v>
      </c>
      <c r="D51" s="8">
        <f t="shared" si="2"/>
        <v>63000</v>
      </c>
      <c r="E51" s="16">
        <v>70000</v>
      </c>
      <c r="F51" s="17">
        <v>2</v>
      </c>
      <c r="G51" s="13">
        <v>0.18</v>
      </c>
      <c r="H51" s="14" t="s">
        <v>16</v>
      </c>
      <c r="I51" s="22" t="s">
        <v>90</v>
      </c>
      <c r="K51" s="22" t="s">
        <v>18</v>
      </c>
      <c r="L51" s="11">
        <f t="shared" si="3"/>
        <v>126000</v>
      </c>
      <c r="M51" s="24">
        <v>45444</v>
      </c>
    </row>
    <row r="52" spans="1:13">
      <c r="A52" s="15" t="s">
        <v>102</v>
      </c>
      <c r="B52" s="9" t="s">
        <v>14</v>
      </c>
      <c r="C52" s="15" t="s">
        <v>103</v>
      </c>
      <c r="D52" s="8">
        <f t="shared" si="2"/>
        <v>225000</v>
      </c>
      <c r="E52" s="16">
        <v>250000</v>
      </c>
      <c r="F52" s="17">
        <v>2</v>
      </c>
      <c r="G52" s="13">
        <v>0.18</v>
      </c>
      <c r="H52" s="14" t="s">
        <v>16</v>
      </c>
      <c r="I52" s="22" t="s">
        <v>103</v>
      </c>
      <c r="K52" s="22" t="s">
        <v>18</v>
      </c>
      <c r="L52" s="11">
        <f t="shared" si="3"/>
        <v>450000</v>
      </c>
      <c r="M52" s="24">
        <v>45444</v>
      </c>
    </row>
    <row r="53" spans="1:13">
      <c r="A53" s="15" t="s">
        <v>104</v>
      </c>
      <c r="B53" s="9" t="s">
        <v>14</v>
      </c>
      <c r="C53" s="15" t="s">
        <v>103</v>
      </c>
      <c r="D53" s="8">
        <f t="shared" si="2"/>
        <v>225000</v>
      </c>
      <c r="E53" s="16">
        <v>250000</v>
      </c>
      <c r="F53" s="17">
        <v>2</v>
      </c>
      <c r="G53" s="13">
        <v>0.18</v>
      </c>
      <c r="H53" s="14" t="s">
        <v>16</v>
      </c>
      <c r="I53" s="22" t="s">
        <v>103</v>
      </c>
      <c r="K53" s="22" t="s">
        <v>18</v>
      </c>
      <c r="L53" s="11">
        <f t="shared" si="3"/>
        <v>450000</v>
      </c>
      <c r="M53" s="24">
        <v>45444</v>
      </c>
    </row>
    <row r="54" spans="1:13">
      <c r="A54" s="15" t="s">
        <v>105</v>
      </c>
      <c r="B54" s="9" t="s">
        <v>14</v>
      </c>
      <c r="C54" s="15" t="s">
        <v>106</v>
      </c>
      <c r="D54" s="8">
        <f t="shared" si="2"/>
        <v>225000</v>
      </c>
      <c r="E54" s="19">
        <v>250000</v>
      </c>
      <c r="F54">
        <v>1</v>
      </c>
      <c r="G54" s="13">
        <v>0.18</v>
      </c>
      <c r="H54" s="14" t="s">
        <v>16</v>
      </c>
      <c r="I54" s="22" t="s">
        <v>106</v>
      </c>
      <c r="K54" s="22" t="s">
        <v>18</v>
      </c>
      <c r="L54" s="11">
        <f t="shared" si="3"/>
        <v>225000</v>
      </c>
      <c r="M54" s="24" t="s">
        <v>107</v>
      </c>
    </row>
    <row r="55" spans="1:13">
      <c r="A55" s="15" t="s">
        <v>108</v>
      </c>
      <c r="B55" s="9" t="s">
        <v>14</v>
      </c>
      <c r="C55" s="15" t="s">
        <v>109</v>
      </c>
      <c r="D55" s="8">
        <f t="shared" si="2"/>
        <v>225000</v>
      </c>
      <c r="E55" s="16">
        <v>250000</v>
      </c>
      <c r="F55" s="17">
        <v>1</v>
      </c>
      <c r="G55" s="13">
        <v>0.18</v>
      </c>
      <c r="H55" s="14" t="s">
        <v>16</v>
      </c>
      <c r="I55" s="22" t="s">
        <v>109</v>
      </c>
      <c r="K55" s="22" t="s">
        <v>18</v>
      </c>
      <c r="L55" s="11">
        <f t="shared" si="3"/>
        <v>225000</v>
      </c>
      <c r="M55" s="24">
        <v>45638</v>
      </c>
    </row>
    <row r="56" spans="1:13">
      <c r="A56" s="15" t="s">
        <v>110</v>
      </c>
      <c r="B56" s="9" t="s">
        <v>14</v>
      </c>
      <c r="C56" s="15" t="s">
        <v>111</v>
      </c>
      <c r="D56" s="8">
        <f t="shared" si="2"/>
        <v>270000</v>
      </c>
      <c r="E56" s="16">
        <v>300000</v>
      </c>
      <c r="F56" s="17">
        <v>1</v>
      </c>
      <c r="G56" s="13">
        <v>0.18</v>
      </c>
      <c r="H56" s="14" t="s">
        <v>16</v>
      </c>
      <c r="I56" s="22" t="s">
        <v>111</v>
      </c>
      <c r="K56" s="22" t="s">
        <v>18</v>
      </c>
      <c r="L56" s="11">
        <f t="shared" si="3"/>
        <v>270000</v>
      </c>
      <c r="M56" s="24">
        <v>45543</v>
      </c>
    </row>
    <row r="57" spans="1:13">
      <c r="A57">
        <v>3978022</v>
      </c>
      <c r="B57" s="9" t="s">
        <v>14</v>
      </c>
      <c r="C57" s="15" t="s">
        <v>112</v>
      </c>
      <c r="D57" s="8">
        <f t="shared" si="2"/>
        <v>270000</v>
      </c>
      <c r="E57" s="16">
        <v>300000</v>
      </c>
      <c r="F57" s="17">
        <v>2</v>
      </c>
      <c r="G57" s="13">
        <v>0.18</v>
      </c>
      <c r="H57" s="14" t="s">
        <v>16</v>
      </c>
      <c r="I57" s="22" t="s">
        <v>112</v>
      </c>
      <c r="K57" s="22" t="s">
        <v>18</v>
      </c>
      <c r="L57" s="11">
        <f t="shared" si="3"/>
        <v>540000</v>
      </c>
      <c r="M57" s="24">
        <v>45543</v>
      </c>
    </row>
    <row r="58" spans="2:13">
      <c r="B58" s="9"/>
      <c r="G58" s="13"/>
      <c r="H58" s="14"/>
      <c r="M58" s="24"/>
    </row>
    <row r="59" spans="7:13">
      <c r="G59" s="13"/>
      <c r="M59" s="24"/>
    </row>
    <row r="60" spans="13:13">
      <c r="M60" s="24"/>
    </row>
    <row r="61" spans="13:13">
      <c r="M61" s="24"/>
    </row>
    <row r="62" spans="13:13">
      <c r="M62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2024-02-20T06:15:47Z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574C1513599C43A9BB4022D264356744_13</vt:lpwstr>
  </property>
  <property fmtid="{D5CDD505-2E9C-101B-9397-08002B2CF9AE}" pid="3" name="KSOProductBuildVer">
    <vt:lpwstr>1033-12.2.0.13416</vt:lpwstr>
  </property>
</Properties>
</file>